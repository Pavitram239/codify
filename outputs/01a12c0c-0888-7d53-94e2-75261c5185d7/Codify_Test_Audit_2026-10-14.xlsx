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6c481fe3644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8d1eb7443e4321"/>
    <x:sheet xmlns:r="http://schemas.openxmlformats.org/officeDocument/2006/relationships" name="Bugs" sheetId="2" r:id="R67c7873bc52f4ecd"/>
    <x:sheet xmlns:r="http://schemas.openxmlformats.org/officeDocument/2006/relationships" name="Scenarios" sheetId="3" r:id="R4b1885a7e72d41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sz val="10"/>
      <x:color rgb="FF172033"/>
      <x:name val="Arial"/>
    </x:font>
    <x:font>
      <x:b/>
      <x:sz val="14"/>
      <x:color rgb="FF172033"/>
      <x:name val="Arial"/>
    </x:font>
    <x:font>
      <x:b/>
      <x:sz val="10"/>
      <x:color rgb="FFFFFFFF"/>
      <x:name val="Arial"/>
    </x:font>
    <x:font>
      <x:b/>
      <x:sz val="10"/>
      <x:color rgb="FF26344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44B"/>
      </x:patternFill>
    </x:fill>
    <x:fill>
      <x:patternFill patternType="solid">
        <x:fgColor rgb="FFFFF4CC"/>
      </x:patternFill>
    </x:fill>
    <x:fill>
      <x:patternFill patternType="solid">
        <x:fgColor rgb="FF26344B"/>
      </x:patternFill>
    </x:fill>
    <x:fill>
      <x:patternFill patternType="solid">
        <x:fgColor rgb="FF2634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4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b59acf02d465b" /><Relationship Type="http://schemas.openxmlformats.org/officeDocument/2006/relationships/theme" Target="/xl/theme/theme1.xml" Id="Re833a77b6a6347f6" /><Relationship Type="http://schemas.openxmlformats.org/officeDocument/2006/relationships/sharedStrings" Target="/xl/sharedStrings.xml" Id="R3a8b42314d454a6b" /><Relationship Type="http://schemas.openxmlformats.org/officeDocument/2006/relationships/worksheet" Target="/xl/worksheets/sheet1.xml" Id="Rce8d1eb7443e4321" /><Relationship Type="http://schemas.openxmlformats.org/officeDocument/2006/relationships/worksheet" Target="/xl/worksheets/sheet2.xml" Id="R67c7873bc52f4ecd" /><Relationship Type="http://schemas.openxmlformats.org/officeDocument/2006/relationships/worksheet" Target="/xl/worksheets/sheet3.xml" Id="R4b1885a7e72d4152" /></Relationships>
</file>

<file path=xl/tables/table1.xml><?xml version="1.0" encoding="utf-8"?>
<x:table xmlns:x="http://schemas.openxmlformats.org/spreadsheetml/2006/main" id="1" name="BugsTable" displayName="BugsTable" ref="A6:T44" headerRowCount="1" totalsRowCount="0" totalsRowShown="0">
  <x:autoFilter ref="A6:T44"/>
  <x:tableColumns count="20">
    <x:tableColumn id="1" name="Bug ID"/>
    <x:tableColumn id="2" name="Priority"/>
    <x:tableColumn id="3" name="Finding type"/>
    <x:tableColumn id="4" name="Area"/>
    <x:tableColumn id="5" name="Finding"/>
    <x:tableColumn id="6" name="Impact"/>
    <x:tableColumn id="7" name="Role"/>
    <x:tableColumn id="8" name="Verification method"/>
    <x:tableColumn id="9" name="Reproduction / inputs"/>
    <x:tableColumn id="10" name="Expected"/>
    <x:tableColumn id="11" name="Observed"/>
    <x:tableColumn id="12" name="Suggested fix"/>
    <x:tableColumn id="13" name="Acceptance check"/>
    <x:tableColumn id="14" name="Linked scenarios"/>
    <x:tableColumn id="15" name="Code / evidence source"/>
    <x:tableColumn id="16" name="Fix status"/>
    <x:tableColumn id="17" name="Owner"/>
    <x:tableColumn id="18" name="Retest result"/>
    <x:tableColumn id="19" name="Retest notes / date"/>
    <x:tableColumn id="20" name="Comple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sTable" displayName="ScenariosTable" ref="A6:P409" headerRowCount="1" totalsRowCount="0" totalsRowShown="0">
  <x:autoFilter ref="A6:P409"/>
  <x:tableColumns count="16">
    <x:tableColumn id="1" name="Scenario ID"/>
    <x:tableColumn id="2" name="Audit result"/>
    <x:tableColumn id="3" name="Area"/>
    <x:tableColumn id="4" name="Scenario"/>
    <x:tableColumn id="5" name="Role"/>
    <x:tableColumn id="6" name="Method / scope"/>
    <x:tableColumn id="7" name="Steps"/>
    <x:tableColumn id="8" name="Inputs / preconditions"/>
    <x:tableColumn id="9" name="Expected"/>
    <x:tableColumn id="10" name="Observed"/>
    <x:tableColumn id="11" name="Bug ID"/>
    <x:tableColumn id="12" name="Code / source"/>
    <x:tableColumn id="13" name="Evidence"/>
    <x:tableColumn id="14" name="Retest result"/>
    <x:tableColumn id="15" name="Retest owner"/>
    <x:tableColumn id="16" name="Retest notes /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32fa414ca343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d5fe20af794f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30" hidden="0" customWidth="1"/>
    <x:col min="5" max="5" width="15" hidden="0" customWidth="1"/>
    <x:col min="6" max="6" width="14" hidden="0" customWidth="1"/>
    <x:col min="7" max="7" width="48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13" t="str">
        <x:v>Codify — application audit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</x:row>
    <x:row r="4" ht="24" customHeight="1">
      <x:c r="A4" s="11" t="str">
        <x:v>Audit date: 14 October 2026 • Current application: http://localhost:5185 • API: 3185 / 8185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</x:row>
    <x:row r="6" ht="27" customHeight="1">
      <x:c r="A6" s="7" t="str">
        <x:v>Original audit result</x:v>
      </x:c>
      <x:c r="B6" s="7" t="str">
        <x:v>Scenarios</x:v>
      </x:c>
      <x:c r="C6" s="3"/>
      <x:c r="D6" s="7" t="str">
        <x:v>Original finding priority</x:v>
      </x:c>
      <x:c r="E6" s="7" t="str">
        <x:v>Count</x:v>
      </x:c>
      <x:c r="F6" s="3"/>
      <x:c r="G6" s="14" t="str">
        <x:v>Fix order</x:v>
      </x:c>
      <x:c r="H6" s="3"/>
      <x:c r="I6" s="3"/>
      <x:c r="J6" s="3"/>
    </x:row>
    <x:row r="7" ht="46" customHeight="1">
      <x:c r="A7" s="3" t="str">
        <x:v>Passed</x:v>
      </x:c>
      <x:c r="B7" s="15" t="n">
        <x:f>COUNTIF(Scenarios!$B$7:$B$409,A7)</x:f>
        <x:v>256</x:v>
      </x:c>
      <x:c r="C7" s="3"/>
      <x:c r="D7" s="3" t="str">
        <x:v>P1</x:v>
      </x:c>
      <x:c r="E7" s="15" t="n">
        <x:f>COUNTIF(Bugs!$B$7:$B$44,D7)</x:f>
        <x:v>8</x:v>
      </x:c>
      <x:c r="F7" s="3"/>
      <x:c r="G7" s="3" t="str">
        <x:f>IF(COUNTIFS(Bugs!$B$7:$B$44,"P1",Bugs!$T$7:$T$44,"&lt;&gt;Verified fixed")=0,"P1 acceptance checks passed","Fix P1 security, data loss and grading")</x:f>
        <x:v>P1 acceptance checks passed</x:v>
      </x:c>
      <x:c r="H7" s="3"/>
      <x:c r="I7" s="3"/>
      <x:c r="J7" s="3"/>
    </x:row>
    <x:row r="8">
      <x:c r="A8" s="3" t="str">
        <x:v>Failed</x:v>
      </x:c>
      <x:c r="B8" s="15" t="n">
        <x:f>COUNTIF(Scenarios!$B$7:$B$409,A8)</x:f>
        <x:v>67</x:v>
      </x:c>
      <x:c r="C8" s="3"/>
      <x:c r="D8" s="3" t="str">
        <x:v>P2</x:v>
      </x:c>
      <x:c r="E8" s="15" t="n">
        <x:f>COUNTIF(Bugs!$B$7:$B$44,D8)</x:f>
        <x:v>27</x:v>
      </x:c>
      <x:c r="F8" s="3"/>
      <x:c r="G8" s="3"/>
      <x:c r="H8" s="3"/>
      <x:c r="I8" s="3"/>
      <x:c r="J8" s="3"/>
    </x:row>
    <x:row r="9" ht="46" customHeight="1">
      <x:c r="A9" s="3" t="str">
        <x:v>Not run</x:v>
      </x:c>
      <x:c r="B9" s="15" t="n">
        <x:f>COUNTIF(Scenarios!$B$7:$B$409,A9)</x:f>
        <x:v>80</x:v>
      </x:c>
      <x:c r="C9" s="3"/>
      <x:c r="D9" s="3" t="str">
        <x:v>P3</x:v>
      </x:c>
      <x:c r="E9" s="15" t="n">
        <x:f>COUNTIF(Bugs!$B$7:$B$44,D9)</x:f>
        <x:v>3</x:v>
      </x:c>
      <x:c r="F9" s="3"/>
      <x:c r="G9" s="3" t="str">
        <x:v>Core workflows and validation retested.</x:v>
      </x:c>
      <x:c r="H9" s="3"/>
      <x:c r="I9" s="3"/>
      <x:c r="J9" s="3"/>
    </x:row>
    <x:row r="10">
      <x:c r="A10" s="3" t="str">
        <x:v>Executed</x:v>
      </x:c>
      <x:c r="B10" s="15" t="n">
        <x:f>SUM(B7:B8)</x:f>
        <x:v>323</x:v>
      </x:c>
      <x:c r="C10" s="3"/>
      <x:c r="D10" s="3" t="str">
        <x:v>Total findings</x:v>
      </x:c>
      <x:c r="E10" s="15" t="n">
        <x:f>SUM(E7:E9)</x:f>
        <x:v>38</x:v>
      </x:c>
      <x:c r="F10" s="3"/>
      <x:c r="G10" s="3"/>
      <x:c r="H10" s="3"/>
      <x:c r="I10" s="3"/>
      <x:c r="J10" s="3"/>
    </x:row>
    <x:row r="11" ht="46" customHeight="1">
      <x:c r="A11" s="3" t="str">
        <x:v>Total planned + executed</x:v>
      </x:c>
      <x:c r="B11" s="15" t="n">
        <x:f>SUM(B7:B9)</x:f>
        <x:v>403</x:v>
      </x:c>
      <x:c r="C11" s="3"/>
      <x:c r="D11" s="3" t="str">
        <x:v>Verified fixed</x:v>
      </x:c>
      <x:c r="E11" s="15" t="n">
        <x:f>COUNTIF(Bugs!$T$7:$T$44,"Verified fixed")</x:f>
        <x:v>38</x:v>
      </x:c>
      <x:c r="F11" s="3"/>
      <x:c r="G11" s="3" t="str">
        <x:v>Full client lint is clean.</x:v>
      </x:c>
      <x:c r="H11" s="3"/>
      <x:c r="I11" s="3"/>
      <x:c r="J11" s="3"/>
    </x:row>
    <x:row r="12">
      <x:c r="A12" s="3" t="str">
        <x:v>Executed pass rate</x:v>
      </x:c>
      <x:c r="B12" s="16" t="n">
        <x:f>IF(B10=0,0,B7/B10)</x:f>
        <x:v>0.7925696594427245</x:v>
      </x:c>
      <x:c r="C12" s="3"/>
      <x:c r="D12" s="3" t="str">
        <x:v>Still unresolved</x:v>
      </x:c>
      <x:c r="E12" s="15" t="n">
        <x:f>E10-E11</x:f>
        <x:v>0</x:v>
      </x:c>
      <x:c r="F12" s="3"/>
      <x:c r="G12" s="3"/>
      <x:c r="H12" s="3"/>
      <x:c r="I12" s="3"/>
      <x:c r="J12" s="3"/>
    </x:row>
    <x:row r="13">
      <x:c r="A13" s="3" t="str">
        <x:v>Failed without linked bug</x:v>
      </x:c>
      <x:c r="B13" s="15" t="n">
        <x:f>COUNTIFS(Scenarios!$B$7:$B$409,"Failed",Scenarios!$K$7:$K$409,"")</x:f>
        <x:v>0</x:v>
      </x:c>
      <x:c r="C13" s="3"/>
      <x:c r="D13" s="3"/>
      <x:c r="E13" s="3"/>
      <x:c r="F13" s="3"/>
      <x:c r="G13" s="3"/>
      <x:c r="H13" s="3"/>
      <x:c r="I13" s="3"/>
      <x:c r="J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>
      <x:c r="A15" s="3"/>
      <x:c r="B15" s="3"/>
      <x:c r="C15" s="3"/>
      <x:c r="D15" s="3"/>
      <x:c r="E15" s="3"/>
      <x:c r="F15" s="3"/>
      <x:c r="G15" s="14" t="str">
        <x:v>How to use</x:v>
      </x:c>
      <x:c r="H15" s="3"/>
      <x:c r="I15" s="3"/>
      <x:c r="J15" s="3"/>
    </x:row>
    <x:row r="16" ht="27" customHeight="1">
      <x:c r="A16" s="7" t="str">
        <x:v>Verification scope</x:v>
      </x:c>
      <x:c r="B16" s="7" t="str">
        <x:v>Count</x:v>
      </x:c>
      <x:c r="C16" s="3"/>
      <x:c r="D16" s="19" t="str">
        <x:v>Verified retests</x:v>
      </x:c>
      <x:c r="E16" s="19" t="str">
        <x:v>Count</x:v>
      </x:c>
      <x:c r="F16" s="3"/>
      <x:c r="G16" s="3" t="str">
        <x:v>Filter Bugs by Priority; assign an owner and update amber cells.</x:v>
      </x:c>
      <x:c r="H16" s="3"/>
      <x:c r="I16" s="3"/>
      <x:c r="J16" s="3"/>
    </x:row>
    <x:row r="17" ht="25" customHeight="1">
      <x:c r="A17" s="3" t="str">
        <x:v>Backend regression</x:v>
      </x:c>
      <x:c r="B17" s="15" t="n">
        <x:v>103</x:v>
      </x:c>
      <x:c r="C17" s="3"/>
      <x:c r="D17" s="3" t="str">
        <x:v>Unique backend checks</x:v>
      </x:c>
      <x:c r="E17" s="15" t="n">
        <x:v>174</x:v>
      </x:c>
      <x:c r="F17" s="3"/>
      <x:c r="G17" s="3"/>
      <x:c r="H17" s="3"/>
      <x:c r="I17" s="3"/>
      <x:c r="J17" s="3"/>
    </x:row>
    <x:row r="18" ht="25" customHeight="1">
      <x:c r="A18" s="3" t="str">
        <x:v>Extra API boundaries</x:v>
      </x:c>
      <x:c r="B18" s="15" t="n">
        <x:v>63</x:v>
      </x:c>
      <x:c r="C18" s="3"/>
      <x:c r="D18" s="3" t="str">
        <x:v>API audit cases</x:v>
      </x:c>
      <x:c r="E18" s="15" t="n">
        <x:v>63</x:v>
      </x:c>
      <x:c r="F18" s="3"/>
      <x:c r="G18" s="3"/>
      <x:c r="H18" s="3"/>
      <x:c r="I18" s="3"/>
      <x:c r="J18" s="3"/>
    </x:row>
    <x:row r="19" ht="25" customHeight="1">
      <x:c r="A19" s="3" t="str">
        <x:v>Live browser / workflow</x:v>
      </x:c>
      <x:c r="B19" s="15" t="n">
        <x:v>59</x:v>
      </x:c>
      <x:c r="C19" s="3"/>
      <x:c r="D19" s="3" t="str">
        <x:v>Live browser / execution</x:v>
      </x:c>
      <x:c r="E19" s="15" t="n">
        <x:v>23</x:v>
      </x:c>
      <x:c r="F19" s="3"/>
      <x:c r="G19" s="3" t="str">
        <x:v>Run the acceptance check after each fix. Mark Closed only with Retest Passed.</x:v>
      </x:c>
      <x:c r="H19" s="3"/>
      <x:c r="I19" s="3"/>
      <x:c r="J19" s="3"/>
    </x:row>
    <x:row r="20" ht="25" customHeight="1">
      <x:c r="A20" s="3" t="str">
        <x:v>Route layouts</x:v>
      </x:c>
      <x:c r="B20" s="15" t="n">
        <x:v>96</x:v>
      </x:c>
      <x:c r="C20" s="3"/>
      <x:c r="D20" s="3" t="str">
        <x:v>Route/layout checks</x:v>
      </x:c>
      <x:c r="E20" s="15" t="n">
        <x:v>96</x:v>
      </x:c>
      <x:c r="F20" s="3"/>
      <x:c r="G20" s="3"/>
      <x:c r="H20" s="3"/>
      <x:c r="I20" s="3"/>
      <x:c r="J20" s="3"/>
    </x:row>
    <x:row r="21" ht="25" customHeight="1">
      <x:c r="A21" s="3" t="str">
        <x:v>Static quality gate</x:v>
      </x:c>
      <x:c r="B21" s="15" t="n">
        <x:v>1</x:v>
      </x:c>
      <x:c r="C21" s="3"/>
      <x:c r="D21" s="3" t="str">
        <x:v>Client lint errors</x:v>
      </x:c>
      <x:c r="E21" s="15" t="n">
        <x:v>0</x:v>
      </x:c>
      <x:c r="F21" s="3"/>
      <x:c r="G21" s="3"/>
      <x:c r="H21" s="3"/>
      <x:c r="I21" s="3"/>
      <x:c r="J21" s="3"/>
    </x:row>
    <x:row r="22" ht="25" customHeight="1">
      <x:c r="A22" s="3" t="str">
        <x:v>New-port login smoke</x:v>
      </x:c>
      <x:c r="B22" s="15" t="n">
        <x:v>1</x:v>
      </x:c>
      <x:c r="C22" s="3"/>
      <x:c r="D22" s="3" t="str">
        <x:v>Client lint warnings</x:v>
      </x:c>
      <x:c r="E22" s="15" t="n">
        <x:v>0</x:v>
      </x:c>
      <x:c r="F22" s="3"/>
      <x:c r="G22" s="3" t="str">
        <x:v>Use Scenarios for remaining release coverage and follow-up retest notes.</x:v>
      </x:c>
      <x:c r="H22" s="3"/>
      <x:c r="I22" s="3"/>
      <x:c r="J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</x:row>
    <x:row r="25">
      <x:c r="A25" s="14" t="str">
        <x:v>Scope and limits</x:v>
      </x:c>
      <x:c r="B25" s="3"/>
      <x:c r="C25" s="3"/>
      <x:c r="D25" s="3"/>
      <x:c r="E25" s="3"/>
      <x:c r="F25" s="3"/>
      <x:c r="G25" s="3"/>
      <x:c r="H25" s="3"/>
      <x:c r="I25" s="3"/>
      <x:c r="J25" s="3"/>
    </x:row>
    <x:row r="26" ht="23" customHeight="1">
      <x:c r="A26" s="11" t="str">
        <x:v>Findings are confirmed observations, except the explicitly labelled Solution feature gap and static code-quality backlog.</x:v>
      </x:c>
      <x:c r="B26" s="3"/>
      <x:c r="C26" s="3"/>
      <x:c r="D26" s="3"/>
      <x:c r="E26" s="3"/>
      <x:c r="F26" s="3"/>
      <x:c r="G26" s="3"/>
      <x:c r="H26" s="3"/>
      <x:c r="I26" s="3"/>
      <x:c r="J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</x:row>
    <x:row r="28" ht="23" customHeight="1">
      <x:c r="A28" s="11" t="str">
        <x:v>Not run items are a release checklist. No finite audit covers all possible inputs; cross-device, load, production and recovery tests remain.</x:v>
      </x:c>
      <x:c r="B28" s="3"/>
      <x:c r="C28" s="3"/>
      <x:c r="D28" s="3"/>
      <x:c r="E28" s="3"/>
      <x:c r="F28" s="3"/>
      <x:c r="G28" s="3"/>
      <x:c r="H28" s="3"/>
      <x:c r="I28" s="3"/>
      <x:c r="J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</x:row>
    <x:row r="30" ht="23" customHeight="1">
      <x:c r="A30" s="11" t="str">
        <x:v>Historical evidence contains ports 5173/3100 because it predates migration. Retests use 5185 and API 3185/8185.</x:v>
      </x:c>
      <x:c r="B30" s="3"/>
      <x:c r="C30" s="3"/>
      <x:c r="D30" s="3"/>
      <x:c r="E30" s="3"/>
      <x:c r="F30" s="3"/>
      <x:c r="G30" s="3"/>
      <x:c r="H30" s="3"/>
      <x:c r="I30" s="3"/>
      <x:c r="J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23" customHeight="1">
      <x:c r="A32" s="11" t="str">
        <x:v>Original audit results are preserved. Current verified status appears in Bugs and in the Scenarios retest columns.</x:v>
      </x:c>
      <x:c r="B32" s="3"/>
      <x:c r="C32" s="3"/>
      <x:c r="D32" s="3"/>
      <x:c r="E32" s="3"/>
      <x:c r="F32" s="3"/>
      <x:c r="G32" s="3"/>
      <x:c r="H32" s="3"/>
      <x:c r="I32" s="3"/>
      <x:c r="J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</x:row>
    <x:row r="34" ht="24" customHeight="1">
      <x:c r="A34" s="11" t="str">
        <x:v>The 80 release checklist items remain unexecuted. An unpublished Solution state is implemented; editorial authoring is still a future feature.</x:v>
      </x:c>
      <x:c r="B34" s="3"/>
      <x:c r="C34" s="3"/>
      <x:c r="D34" s="3"/>
      <x:c r="E34" s="3"/>
      <x:c r="F34" s="3"/>
      <x:c r="G34" s="3"/>
      <x:c r="H34" s="3"/>
      <x:c r="I34" s="3"/>
      <x:c r="J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</x:row>
  </x:sheetData>
  <x:conditionalFormatting sqref="B13:B13">
    <x:cfRule type="cellIs" dxfId="4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9" hidden="0" customWidth="1"/>
    <x:col min="3" max="3" width="17" hidden="0" customWidth="1"/>
    <x:col min="4" max="4" width="23" hidden="0" customWidth="1"/>
    <x:col min="5" max="5" width="37" hidden="0" customWidth="1"/>
    <x:col min="6" max="6" width="44" hidden="0" customWidth="1"/>
    <x:col min="7" max="7" width="18" hidden="0" customWidth="1"/>
    <x:col min="8" max="8" width="28" hidden="0" customWidth="1"/>
    <x:col min="9" max="9" width="58" hidden="0" customWidth="1"/>
    <x:col min="10" max="10" width="48" hidden="0" customWidth="1"/>
    <x:col min="11" max="11" width="68" hidden="0" customWidth="1"/>
    <x:col min="12" max="12" width="54" hidden="0" customWidth="1"/>
    <x:col min="13" max="13" width="54" hidden="0" customWidth="1"/>
    <x:col min="14" max="14" width="29" hidden="0" customWidth="1"/>
    <x:col min="15" max="15" width="54" hidden="0" customWidth="1"/>
    <x:col min="16" max="16" width="20" hidden="0" customWidth="1"/>
    <x:col min="17" max="17" width="20" hidden="0" customWidth="1"/>
    <x:col min="18" max="18" width="19" hidden="0" customWidth="1"/>
    <x:col min="19" max="19" width="45" hidden="0" customWidth="1"/>
    <x:col min="20" max="20" width="21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6" customHeight="1">
      <x:c r="A2" s="13" t="str">
        <x:v>Confirmed findings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</x:row>
    <x:row r="4" ht="24" customHeight="1">
      <x:c r="A4" s="11" t="str">
        <x:v>Original observations are preserved. Amber columns P:S track fixes; close only after a passing retest. Filter Priority first.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</x:row>
    <x:row r="6" ht="32" customHeight="1">
      <x:c r="A6" s="9" t="str">
        <x:v>Bug ID</x:v>
      </x:c>
      <x:c r="B6" s="9" t="str">
        <x:v>Priority</x:v>
      </x:c>
      <x:c r="C6" s="9" t="str">
        <x:v>Finding type</x:v>
      </x:c>
      <x:c r="D6" s="9" t="str">
        <x:v>Area</x:v>
      </x:c>
      <x:c r="E6" s="9" t="str">
        <x:v>Finding</x:v>
      </x:c>
      <x:c r="F6" s="9" t="str">
        <x:v>Impact</x:v>
      </x:c>
      <x:c r="G6" s="9" t="str">
        <x:v>Role</x:v>
      </x:c>
      <x:c r="H6" s="9" t="str">
        <x:v>Verification method</x:v>
      </x:c>
      <x:c r="I6" s="9" t="str">
        <x:v>Reproduction / inputs</x:v>
      </x:c>
      <x:c r="J6" s="9" t="str">
        <x:v>Expected</x:v>
      </x:c>
      <x:c r="K6" s="9" t="str">
        <x:v>Observed</x:v>
      </x:c>
      <x:c r="L6" s="9" t="str">
        <x:v>Suggested fix</x:v>
      </x:c>
      <x:c r="M6" s="9" t="str">
        <x:v>Acceptance check</x:v>
      </x:c>
      <x:c r="N6" s="9" t="str">
        <x:v>Linked scenarios</x:v>
      </x:c>
      <x:c r="O6" s="9" t="str">
        <x:v>Code / evidence source</x:v>
      </x:c>
      <x:c r="P6" s="9" t="str">
        <x:v>Fix status</x:v>
      </x:c>
      <x:c r="Q6" s="9" t="str">
        <x:v>Owner</x:v>
      </x:c>
      <x:c r="R6" s="9" t="str">
        <x:v>Retest result</x:v>
      </x:c>
      <x:c r="S6" s="9" t="str">
        <x:v>Retest notes / date</x:v>
      </x:c>
      <x:c r="T6" s="9" t="str">
        <x:v>Completion</x:v>
      </x:c>
    </x:row>
    <x:row r="7" ht="170" customHeight="1">
      <x:c r="A7" s="3" t="str">
        <x:v>B001</x:v>
      </x:c>
      <x:c r="B7" s="3" t="str">
        <x:v>P1</x:v>
      </x:c>
      <x:c r="C7" s="3" t="str">
        <x:v>Security flaw</x:v>
      </x:c>
      <x:c r="D7" s="3" t="str">
        <x:v>Submission privacy</x:v>
      </x:c>
      <x:c r="E7" s="3" t="str">
        <x:v>Other faculty can read private submissions</x:v>
      </x:c>
      <x:c r="F7" s="3" t="str">
        <x:v>Student source, scores and hidden test data can be disclosed across faculty boundaries.</x:v>
      </x:c>
      <x:c r="G7" s="3" t="str">
        <x:v>Faculty</x:v>
      </x:c>
      <x:c r="H7" s="3" t="str">
        <x:v>Isolated API test</x:v>
      </x:c>
      <x:c r="I7" s="3" t="str">
        <x:v>Faculty B requests Faculty A's private problem submission/detail endpoint</x:v>
      </x:c>
      <x:c r="J7" s="3" t="str">
        <x:v>HTTP 403 without code, scores or hidden case data</x:v>
      </x:c>
      <x:c r="K7" s="3" t="str">
        <x:v>HTTP 200: {"_id": "2fd15715-379f-424d-b966-ca0c7156f165", "user_id": {"_id": "16ed77e4-e97a-4f85-8e6d-ff1d1846c3aa", "role": "student", "username": "qa_student"}, "problem_id": {"_id": "f9822ef9-de3c-4b8c-8742-0fe507998b5e", "title": "QA pair sum"}, "code": "private student code", "language": "python", "status": "completed", "execution_time": 0.0, "memory_usage": 0.0, "numberOfTestCase": 0, "numberOfTestCasePass": 0, "totalMarks": 20, "testCaseResults": [{"input": "private-hidden-input", "output": "private-hidden-output", "expectedOutput": "private-hidden-output", "passed": true, "time": 0.0, "memory": 0.0, "is_hidden": true, "marks": 10}], "createdAt": "2026-10-14T04:58:35.034246Z"}</x:v>
      </x:c>
      <x:c r="L7" s="3" t="str">
        <x:v>Apply owner/admin object permission checks to submission detail and problem rosters.</x:v>
      </x:c>
      <x:c r="M7" s="3" t="str">
        <x:v>Unrelated faculty receive 403; owner and authorized admin retain access.</x:v>
      </x:c>
      <x:c r="N7" s="3" t="str">
        <x:v>API-S01, API-S02</x:v>
      </x:c>
      <x:c r="O7" s="3" t="str">
        <x:v>apps/submissions/views.py:SubmissionDetailView / AllSubmissionsForProblemView</x:v>
      </x:c>
      <x:c r="P7" s="10" t="str">
        <x:v>Closed</x:v>
      </x:c>
      <x:c r="Q7" s="10" t="str">
        <x:v>Codex</x:v>
      </x:c>
      <x:c r="R7" s="10" t="str">
        <x:v>Passed</x:v>
      </x:c>
      <x:c r="S7" s="10" t="str">
        <x:v>14 Oct 2026 — All linked acceptance checks passed: API-S01, API-S02. Detailed retest observations are preserved in the Scenarios retest columns and saved test evidence.</x:v>
      </x:c>
      <x:c r="T7" s="3" t="str">
        <x:f>IF(AND(P7="Closed",R7="Passed"),"Verified fixed",IF(P7="Closed","Needs retest",P7))</x:f>
        <x:v>Verified fixed</x:v>
      </x:c>
    </x:row>
    <x:row r="8" ht="92" customHeight="1">
      <x:c r="A8" s="3" t="str">
        <x:v>B002</x:v>
      </x:c>
      <x:c r="B8" s="3" t="str">
        <x:v>P1</x:v>
      </x:c>
      <x:c r="C8" s="3" t="str">
        <x:v>Security flaw</x:v>
      </x:c>
      <x:c r="D8" s="3" t="str">
        <x:v>Authentication and sessions</x:v>
      </x:c>
      <x:c r="E8" s="3" t="str">
        <x:v>Staff tokens survive password changes</x:v>
      </x:c>
      <x:c r="F8" s="3" t="str">
        <x:v>A retained faculty/admin token still authenticates after a password change.</x:v>
      </x:c>
      <x:c r="G8" s="3" t="str">
        <x:v>Faculty</x:v>
      </x:c>
      <x:c r="H8" s="3" t="str">
        <x:v>Isolated API test</x:v>
      </x:c>
      <x:c r="I8" s="3" t="str">
        <x:v>Retain a staff access token, change password, replay the retained token</x:v>
      </x:c>
      <x:c r="J8" s="3" t="str">
        <x:v>Password changed; old JWT gets HTTP 401</x:v>
      </x:c>
      <x:c r="K8" s="3" t="str">
        <x:v>Password change HTTP 200; old JWT current-user HTTP 200</x:v>
      </x:c>
      <x:c r="L8" s="3" t="str">
        <x:v>Track a token version or password-change timestamp for all roles and invalidate older tokens.</x:v>
      </x:c>
      <x:c r="M8" s="3" t="str">
        <x:v>Old staff tokens return 401; newly issued tokens work.</x:v>
      </x:c>
      <x:c r="N8" s="3" t="str">
        <x:v>API-A01, API-A02</x:v>
      </x:c>
      <x:c r="O8" s="3" t="str">
        <x:v>apps/users/authentication.py / views.py:ChangePasswordView</x:v>
      </x:c>
      <x:c r="P8" s="10" t="str">
        <x:v>Closed</x:v>
      </x:c>
      <x:c r="Q8" s="10" t="str">
        <x:v>Codex</x:v>
      </x:c>
      <x:c r="R8" s="10" t="str">
        <x:v>Passed</x:v>
      </x:c>
      <x:c r="S8" s="10" t="str">
        <x:v>14 Oct 2026 — All linked acceptance checks passed: API-A01, API-A02. Detailed retest observations are preserved in the Scenarios retest columns and saved test evidence.</x:v>
      </x:c>
      <x:c r="T8" s="3" t="str">
        <x:f>IF(AND(P8="Closed",R8="Passed"),"Verified fixed",IF(P8="Closed","Needs retest",P8))</x:f>
        <x:v>Verified fixed</x:v>
      </x:c>
    </x:row>
    <x:row r="9" ht="92" customHeight="1">
      <x:c r="A9" s="3" t="str">
        <x:v>B003</x:v>
      </x:c>
      <x:c r="B9" s="3" t="str">
        <x:v>P1</x:v>
      </x:c>
      <x:c r="C9" s="3" t="str">
        <x:v>Security flaw</x:v>
      </x:c>
      <x:c r="D9" s="3" t="str">
        <x:v>Authentication and sessions</x:v>
      </x:c>
      <x:c r="E9" s="3" t="str">
        <x:v>Initial passwords use public identifiers</x:v>
      </x:c>
      <x:c r="F9" s="3" t="str">
        <x:v>An approved new account can be claimed using its known student ID or email prefix.</x:v>
      </x:c>
      <x:c r="G9" s="3" t="str">
        <x:v>Faculty</x:v>
      </x:c>
      <x:c r="H9" s="3" t="str">
        <x:v>Isolated API test</x:v>
      </x:c>
      <x:c r="I9" s="3" t="str">
        <x:v>Approve a new account; check whether its password equals the student ID or faculty email prefix</x:v>
      </x:c>
      <x:c r="J9" s="3" t="str">
        <x:v>Approval requires an unpredictable one-time invitation credential</x:v>
      </x:c>
      <x:c r="K9" s="3" t="str">
        <x:v>Approval HTTP 200; stored password matches public identifier=True</x:v>
      </x:c>
      <x:c r="L9" s="3" t="str">
        <x:v>Use a random, single-use invitation or reset token with expiry and secure delivery.</x:v>
      </x:c>
      <x:c r="M9" s="3" t="str">
        <x:v>Public identifiers cannot authenticate or authorize first-password setup.</x:v>
      </x:c>
      <x:c r="N9" s="3" t="str">
        <x:v>API-A04, API-A05</x:v>
      </x:c>
      <x:c r="O9" s="3" t="str">
        <x:v>apps/users/views_admin.py / views_faculty.py:accept request</x:v>
      </x:c>
      <x:c r="P9" s="10" t="str">
        <x:v>Closed</x:v>
      </x:c>
      <x:c r="Q9" s="10" t="str">
        <x:v>Codex</x:v>
      </x:c>
      <x:c r="R9" s="10" t="str">
        <x:v>Passed</x:v>
      </x:c>
      <x:c r="S9" s="10" t="str">
        <x:v>14 Oct 2026 — All linked acceptance checks passed: API-A04, API-A05. Detailed retest observations are preserved in the Scenarios retest columns and saved test evidence.</x:v>
      </x:c>
      <x:c r="T9" s="3" t="str">
        <x:f>IF(AND(P9="Closed",R9="Passed"),"Verified fixed",IF(P9="Closed","Needs retest",P9))</x:f>
        <x:v>Verified fixed</x:v>
      </x:c>
    </x:row>
    <x:row r="10" ht="92" customHeight="1">
      <x:c r="A10" s="3" t="str">
        <x:v>B004</x:v>
      </x:c>
      <x:c r="B10" s="3" t="str">
        <x:v>P1</x:v>
      </x:c>
      <x:c r="C10" s="3" t="str">
        <x:v>Security flaw</x:v>
      </x:c>
      <x:c r="D10" s="3" t="str">
        <x:v>Profile</x:v>
      </x:c>
      <x:c r="E10" s="3" t="str">
        <x:v>Profile updates allow duplicate login emails</x:v>
      </x:c>
      <x:c r="F10" s="3" t="str">
        <x:v>Email login becomes ambiguous when two accounts share an address.</x:v>
      </x:c>
      <x:c r="G10" s="3" t="str">
        <x:v>Faculty</x:v>
      </x:c>
      <x:c r="H10" s="3" t="str">
        <x:v>Isolated API test</x:v>
      </x:c>
      <x:c r="I10" s="3" t="str">
        <x:v>PUT profile with another faculty account's email</x:v>
      </x:c>
      <x:c r="J10" s="3" t="str">
        <x:v>HTTP 400; email remains unique for login</x:v>
      </x:c>
      <x:c r="K10" s="3" t="str">
        <x:v>HTTP 200: {"message": "Profile updated successfully", "user": {"username": "qa_faculty", "profile": {"name": "QA name", "bio": null, "avatar": null, "github": null, "linkedIn": null, "birthday": null, "gender": null, "skills": null, "education": null, "location": null}, "email": "other_faculty@example.test"}, "success": true}</x:v>
      </x:c>
      <x:c r="L10" s="3" t="str">
        <x:v>Normalize email, validate uniqueness on all write paths and enforce the agreed uniqueness constraint.</x:v>
      </x:c>
      <x:c r="M10" s="3" t="str">
        <x:v>Duplicate updates return a field error; both original account identities remain intact.</x:v>
      </x:c>
      <x:c r="N10" s="3" t="str">
        <x:v>API-PR01</x:v>
      </x:c>
      <x:c r="O10" s="3" t="str">
        <x:v>apps/users/views.py:UpdateUserView</x:v>
      </x:c>
      <x:c r="P10" s="10" t="str">
        <x:v>Closed</x:v>
      </x:c>
      <x:c r="Q10" s="10" t="str">
        <x:v>Codex</x:v>
      </x:c>
      <x:c r="R10" s="10" t="str">
        <x:v>Passed</x:v>
      </x:c>
      <x:c r="S10" s="10" t="str">
        <x:v>14 Oct 2026 — All linked acceptance checks passed: API-PR01. Detailed retest observations are preserved in the Scenarios retest columns and saved test evidence.</x:v>
      </x:c>
      <x:c r="T10" s="3" t="str">
        <x:f>IF(AND(P10="Closed",R10="Passed"),"Verified fixed",IF(P10="Closed","Needs retest",P10))</x:f>
        <x:v>Verified fixed</x:v>
      </x:c>
    </x:row>
    <x:row r="11" ht="92" customHeight="1">
      <x:c r="A11" s="3" t="str">
        <x:v>B005</x:v>
      </x:c>
      <x:c r="B11" s="3" t="str">
        <x:v>P1</x:v>
      </x:c>
      <x:c r="C11" s="3" t="str">
        <x:v>Defect</x:v>
      </x:c>
      <x:c r="D11" s="3" t="str">
        <x:v>Problem authoring</x:v>
      </x:c>
      <x:c r="E11" s="3" t="str">
        <x:v>Rejected problem edits still replace samples</x:v>
      </x:c>
      <x:c r="F11" s="3" t="str">
        <x:v>A 400 response can leave existing sample data changed.</x:v>
      </x:c>
      <x:c r="G11" s="3" t="str">
        <x:v>Faculty</x:v>
      </x:c>
      <x:c r="H11" s="3" t="str">
        <x:v>Isolated API test</x:v>
      </x:c>
      <x:c r="I11" s="3" t="str">
        <x:v>PUT valid replacement sampleIO together with CPU limit 99; GET problem afterwards</x:v>
      </x:c>
      <x:c r="J11" s="3" t="str">
        <x:v>HTTP 400 and original sample retained</x:v>
      </x:c>
      <x:c r="K11" s="3" t="str">
        <x:v>HTTP 400; samples after rejected edit: ['replacement']</x:v>
      </x:c>
      <x:c r="L11" s="3" t="str">
        <x:v>Validate the complete payload before writes; wrap all nested changes in one transaction.</x:v>
      </x:c>
      <x:c r="M11" s="3" t="str">
        <x:v>An invalid update preserves every original field, sample and test case.</x:v>
      </x:c>
      <x:c r="N11" s="3" t="str">
        <x:v>API-U05</x:v>
      </x:c>
      <x:c r="O11" s="3" t="str">
        <x:v>apps/problems/views.py:ProblemDetailUpdateDeleteView.put</x:v>
      </x:c>
      <x:c r="P11" s="10" t="str">
        <x:v>Closed</x:v>
      </x:c>
      <x:c r="Q11" s="10" t="str">
        <x:v>Codex</x:v>
      </x:c>
      <x:c r="R11" s="10" t="str">
        <x:v>Passed</x:v>
      </x:c>
      <x:c r="S11" s="10" t="str">
        <x:v>14 Oct 2026 — All linked acceptance checks passed: API-U05. Detailed retest observations are preserved in the Scenarios retest columns and saved test evidence.</x:v>
      </x:c>
      <x:c r="T11" s="3" t="str">
        <x:f>IF(AND(P11="Closed",R11="Passed"),"Verified fixed",IF(P11="Closed","Needs retest",P11))</x:f>
        <x:v>Verified fixed</x:v>
      </x:c>
    </x:row>
    <x:row r="12" ht="92" customHeight="1">
      <x:c r="A12" s="3" t="str">
        <x:v>B006</x:v>
      </x:c>
      <x:c r="B12" s="3" t="str">
        <x:v>P1</x:v>
      </x:c>
      <x:c r="C12" s="3" t="str">
        <x:v>Defect</x:v>
      </x:c>
      <x:c r="D12" s="3" t="str">
        <x:v>Assessment assignment</x:v>
      </x:c>
      <x:c r="E12" s="3" t="str">
        <x:v>Removing one assessment removes shared access</x:v>
      </x:c>
      <x:c r="F12" s="3" t="str">
        <x:v>Students lose a problem still assigned through another active assessment.</x:v>
      </x:c>
      <x:c r="G12" s="3" t="str">
        <x:v>Faculty</x:v>
      </x:c>
      <x:c r="H12" s="3" t="str">
        <x:v>Isolated API test</x:v>
      </x:c>
      <x:c r="I12" s="3" t="str">
        <x:v>Assign the same student and problem to two active contests; delete/unassign the first; open the problem in the second</x:v>
      </x:c>
      <x:c r="J12" s="3" t="str">
        <x:v>Student retains problem access in the remaining active assessment</x:v>
      </x:c>
      <x:c r="K12" s="3" t="str">
        <x:v>Remaining contest assignment=True; problem assignment=False; problem GET HTTP 403</x:v>
      </x:c>
      <x:c r="L12" s="3" t="str">
        <x:v>Derive effective access from remaining assignment sources before removing a problem relationship.</x:v>
      </x:c>
      <x:c r="M12" s="3" t="str">
        <x:v>Delete/unassign one of two assessments; the other still permits reads and execution.</x:v>
      </x:c>
      <x:c r="N12" s="3" t="str">
        <x:v>API-C04, API-C05</x:v>
      </x:c>
      <x:c r="O12" s="3" t="str">
        <x:v>apps/contests/views.py:ContestDetailView.delete / UnassignContestToStudentsView</x:v>
      </x:c>
      <x:c r="P12" s="10" t="str">
        <x:v>Closed</x:v>
      </x:c>
      <x:c r="Q12" s="10" t="str">
        <x:v>Codex</x:v>
      </x:c>
      <x:c r="R12" s="10" t="str">
        <x:v>Passed</x:v>
      </x:c>
      <x:c r="S12" s="10" t="str">
        <x:v>14 Oct 2026 — All linked acceptance checks passed: API-C04, API-C05. Detailed retest observations are preserved in the Scenarios retest columns and saved test evidence.</x:v>
      </x:c>
      <x:c r="T12" s="3" t="str">
        <x:f>IF(AND(P12="Closed",R12="Passed"),"Verified fixed",IF(P12="Closed","Needs retest",P12))</x:f>
        <x:v>Verified fixed</x:v>
      </x:c>
    </x:row>
    <x:row r="13" ht="93" customHeight="1">
      <x:c r="A13" s="3" t="str">
        <x:v>B007</x:v>
      </x:c>
      <x:c r="B13" s="3" t="str">
        <x:v>P1</x:v>
      </x:c>
      <x:c r="C13" s="3" t="str">
        <x:v>Defect</x:v>
      </x:c>
      <x:c r="D13" s="3" t="str">
        <x:v>Code execution and grading</x:v>
      </x:c>
      <x:c r="E13" s="3" t="str">
        <x:v>Failed executions can receive full marks</x:v>
      </x:c>
      <x:c r="F13" s="3" t="str">
        <x:v>An empty expected output matches empty stdout even when the judge reports failure.</x:v>
      </x:c>
      <x:c r="G13" s="3" t="str">
        <x:v>Faculty</x:v>
      </x:c>
      <x:c r="H13" s="3" t="str">
        <x:v>Isolated API test</x:v>
      </x:c>
      <x:c r="I13" s="3" t="str">
        <x:v>Return a non-accepted Judge0 status with empty stdout and an empty expected output</x:v>
      </x:c>
      <x:c r="J13" s="3" t="str">
        <x:v>passed=False; marks=0 for every status other than accepted</x:v>
      </x:c>
      <x:c r="K13" s="3" t="str">
        <x:v>{"judge_status": 6, "passed": true, "marks": 10, "error": null}</x:v>
      </x:c>
      <x:c r="L13" s="3" t="str">
        <x:v>Require an accepted judge status before comparing output and awarding marks.</x:v>
      </x:c>
      <x:c r="M13" s="3" t="str">
        <x:v>Every non-accepted status fails with zero marks, including empty-output cases.</x:v>
      </x:c>
      <x:c r="N13" s="3" t="str">
        <x:v>API-E06, API-E07, API-E08, API-E11, API-E12, API-E13</x:v>
      </x:c>
      <x:c r="O13" s="3" t="str">
        <x:v>apps/execution/services.py:fetch_result / execute_test_cases</x:v>
      </x:c>
      <x:c r="P13" s="10" t="str">
        <x:v>Closed</x:v>
      </x:c>
      <x:c r="Q13" s="10" t="str">
        <x:v>Codex</x:v>
      </x:c>
      <x:c r="R13" s="10" t="str">
        <x:v>Passed</x:v>
      </x:c>
      <x:c r="S13" s="10" t="str">
        <x:v>14 Oct 2026 — All linked acceptance checks passed: API-E06, API-E07, API-E08, API-E11, API-E12, API-E13. Detailed retest observations are preserved in the Scenarios retest columns and saved test evidence.</x:v>
      </x:c>
      <x:c r="T13" s="3" t="str">
        <x:f>IF(AND(P13="Closed",R13="Passed"),"Verified fixed",IF(P13="Closed","Needs retest",P13))</x:f>
        <x:v>Verified fixed</x:v>
      </x:c>
    </x:row>
    <x:row r="14" ht="92" customHeight="1">
      <x:c r="A14" s="3" t="str">
        <x:v>B008</x:v>
      </x:c>
      <x:c r="B14" s="3" t="str">
        <x:v>P1</x:v>
      </x:c>
      <x:c r="C14" s="3" t="str">
        <x:v>Defect</x:v>
      </x:c>
      <x:c r="D14" s="3" t="str">
        <x:v>Code execution and grading</x:v>
      </x:c>
      <x:c r="E14" s="3" t="str">
        <x:v>Memory budgets silently increase</x:v>
      </x:c>
      <x:c r="F14" s="3" t="str">
        <x:v>A live 8 MB limit accepted a program using 23.10 MB and awarded marks.</x:v>
      </x:c>
      <x:c r="G14" s="3" t="str">
        <x:v>Student</x:v>
      </x:c>
      <x:c r="H14" s="3" t="str">
        <x:v>Live browser/API</x:v>
      </x:c>
      <x:c r="I14" s="3" t="str">
        <x:v>Owner creates a problem with an 8 MB case budget; student allocates 20 MB and prints the expected result</x:v>
      </x:c>
      <x:c r="J14" s="3" t="str">
        <x:v>An 8 MB configuration rejects an execution using more than 8 MB or is explicitly rejected at configuration time</x:v>
      </x:c>
      <x:c r="K14" s="3" t="str">
        <x:v>Configured=8 MB; execution average memory=23.10 MB; allPassed=true; awarded marks=10</x:v>
      </x:c>
      <x:c r="L14" s="3" t="str">
        <x:v>Enforce the requested budget or reject unsupported limits with an explicit supported minimum.</x:v>
      </x:c>
      <x:c r="M14" s="3" t="str">
        <x:v>A program exceeding the effective configured budget fails; UI and judge limits agree.</x:v>
      </x:c>
      <x:c r="N14" s="3" t="str">
        <x:v>LIVE-E08</x:v>
      </x:c>
      <x:c r="O14" s="3" t="str">
        <x:v>apps/execution/services.py:execute_test_cases memory clamping</x:v>
      </x:c>
      <x:c r="P14" s="10" t="str">
        <x:v>Closed</x:v>
      </x:c>
      <x:c r="Q14" s="10" t="str">
        <x:v>Codex</x:v>
      </x:c>
      <x:c r="R14" s="10" t="str">
        <x:v>Passed</x:v>
      </x:c>
      <x:c r="S14" s="10" t="str">
        <x:v>14 Oct 2026 — All linked acceptance checks passed: LIVE-E08. Detailed retest observations are preserved in the Scenarios retest columns and saved test evidence.</x:v>
      </x:c>
      <x:c r="T14" s="3" t="str">
        <x:f>IF(AND(P14="Closed",R14="Passed"),"Verified fixed",IF(P14="Closed","Needs retest",P14))</x:f>
        <x:v>Verified fixed</x:v>
      </x:c>
    </x:row>
    <x:row r="15" ht="144" customHeight="1">
      <x:c r="A15" s="3" t="str">
        <x:v>B009</x:v>
      </x:c>
      <x:c r="B15" s="3" t="str">
        <x:v>P2</x:v>
      </x:c>
      <x:c r="C15" s="3" t="str">
        <x:v>Defect</x:v>
      </x:c>
      <x:c r="D15" s="3" t="str">
        <x:v>Problem authoring</x:v>
      </x:c>
      <x:c r="E15" s="3" t="str">
        <x:v>Problem fields accept invalid values</x:v>
      </x:c>
      <x:c r="F15" s="3" t="str">
        <x:v>Blank titles, unknown difficulty and coerced limits/booleans create inconsistent problems.</x:v>
      </x:c>
      <x:c r="G15" s="3" t="str">
        <x:v>Faculty</x:v>
      </x:c>
      <x:c r="H15" s="3" t="str">
        <x:v>Isolated API test</x:v>
      </x:c>
      <x:c r="I15" s="3" t="str">
        <x:v>POST /api/v1/problems/ as the problem owner
Inputs: {"title": "   "}</x:v>
      </x:c>
      <x:c r="J15" s="3" t="str">
        <x:v>HTTP 400; invalid input does not create a problem</x:v>
      </x:c>
      <x:c r="K15" s="3" t="str">
        <x:v>HTTP 201: {"_id": "5cfa170f-b6a8-4fff-a79d-24006583f643", "title": "   ", "description": "Add integers", "difficulty": "easy", "inputFormat": "Integers", "outputFormat": "Sum", "sampleIO": [{"input": "2 3", "output": "5", "order": 0}], "testCases": [{"id": "c3ff7101-acdb-4b78-aaf4-16bd3a5c2f7c", "inputs": "2 3", "outputs": "5", "marks": 10, "cpu_time_limit": 1.0, "memory_limit": 128, "is_hidden": false, "order": 0}], "constraints": "", "tags": [], "totalMarks": 10, "createdBy": "8ff6831c-6ed6-4af9-88b4-23ce85575147"}</x:v>
      </x:c>
      <x:c r="L15" s="3" t="str">
        <x:v>Use write serializers for trimmed strings, allowed difficulty, numeric limits and strict booleans.</x:v>
      </x:c>
      <x:c r="M15" s="3" t="str">
        <x:v>All linked invalid inputs return 400 without mutation; valid create/edit still succeeds.</x:v>
      </x:c>
      <x:c r="N15" s="3" t="str">
        <x:v>API-P02, API-P03, API-P14, API-P17, API-U01</x:v>
      </x:c>
      <x:c r="O15" s="3" t="str">
        <x:v>apps/problems/views.py:ProblemListCreateView
apps/problems/views.py:ProblemDetailUpdateDeleteView</x:v>
      </x:c>
      <x:c r="P15" s="10" t="str">
        <x:v>Closed</x:v>
      </x:c>
      <x:c r="Q15" s="10" t="str">
        <x:v>Codex</x:v>
      </x:c>
      <x:c r="R15" s="10" t="str">
        <x:v>Passed</x:v>
      </x:c>
      <x:c r="S15" s="10" t="str">
        <x:v>14 Oct 2026 — All linked acceptance checks passed: API-P02, API-P03, API-P14, API-P17, API-U01. Detailed retest observations are preserved in the Scenarios retest columns and saved test evidence.</x:v>
      </x:c>
      <x:c r="T15" s="3" t="str">
        <x:f>IF(AND(P15="Closed",R15="Passed"),"Verified fixed",IF(P15="Closed","Needs retest",P15))</x:f>
        <x:v>Verified fixed</x:v>
      </x:c>
    </x:row>
    <x:row r="16" ht="93" customHeight="1">
      <x:c r="A16" s="3" t="str">
        <x:v>B010</x:v>
      </x:c>
      <x:c r="B16" s="3" t="str">
        <x:v>P2</x:v>
      </x:c>
      <x:c r="C16" s="3" t="str">
        <x:v>Defect</x:v>
      </x:c>
      <x:c r="D16" s="3" t="str">
        <x:v>Problem authoring</x:v>
      </x:c>
      <x:c r="E16" s="3" t="str">
        <x:v>Malformed problem payloads cause server errors</x:v>
      </x:c>
      <x:c r="F16" s="3" t="str">
        <x:v>Null/string nested cases, malformed samples and long titles produce HTTP 500.</x:v>
      </x:c>
      <x:c r="G16" s="3" t="str">
        <x:v>Faculty</x:v>
      </x:c>
      <x:c r="H16" s="3" t="str">
        <x:v>Isolated API test</x:v>
      </x:c>
      <x:c r="I16" s="3" t="str">
        <x:v>POST /api/v1/problems/ as the problem owner
Inputs: {"testCases": [null]}</x:v>
      </x:c>
      <x:c r="J16" s="3" t="str">
        <x:v>HTTP 400; invalid input does not create a problem</x:v>
      </x:c>
      <x:c r="K16" s="3" t="str">
        <x:v>HTTP 500: "Server error"</x:v>
      </x:c>
      <x:c r="L16" s="3" t="str">
        <x:v>Validate nested structure, lengths and numeric types before database operations.</x:v>
      </x:c>
      <x:c r="M16" s="3" t="str">
        <x:v>All linked malformed payloads return structured 400 responses with no partial writes.</x:v>
      </x:c>
      <x:c r="N16" s="3" t="str">
        <x:v>API-P05, API-P06, API-P07, API-P08, API-P18, API-U02, API-U03</x:v>
      </x:c>
      <x:c r="O16" s="3" t="str">
        <x:v>apps/problems/views.py:ProblemListCreateView
apps/problems/views.py:ProblemDetailUpdateDeleteView</x:v>
      </x:c>
      <x:c r="P16" s="10" t="str">
        <x:v>Closed</x:v>
      </x:c>
      <x:c r="Q16" s="10" t="str">
        <x:v>Codex</x:v>
      </x:c>
      <x:c r="R16" s="10" t="str">
        <x:v>Passed</x:v>
      </x:c>
      <x:c r="S16" s="10" t="str">
        <x:v>14 Oct 2026 — All linked acceptance checks passed: API-P05, API-P06, API-P07, API-P08, API-P18, API-U02, API-U03. Detailed retest observations are preserved in the Scenarios retest columns and saved test evidence.</x:v>
      </x:c>
      <x:c r="T16" s="3" t="str">
        <x:f>IF(AND(P16="Closed",R16="Passed"),"Verified fixed",IF(P16="Closed","Needs retest",P16))</x:f>
        <x:v>Verified fixed</x:v>
      </x:c>
    </x:row>
    <x:row r="17" ht="92" customHeight="1">
      <x:c r="A17" s="3" t="str">
        <x:v>B011</x:v>
      </x:c>
      <x:c r="B17" s="3" t="str">
        <x:v>P2</x:v>
      </x:c>
      <x:c r="C17" s="3" t="str">
        <x:v>Defect</x:v>
      </x:c>
      <x:c r="D17" s="3" t="str">
        <x:v>Problem authoring</x:v>
      </x:c>
      <x:c r="E17" s="3" t="str">
        <x:v>Invalid marks crash or corrupt totals</x:v>
      </x:c>
      <x:c r="F17" s="3" t="str">
        <x:v>Negative marks produce 500; nonnumeric/fractional values are silently changed and totals disagree.</x:v>
      </x:c>
      <x:c r="G17" s="3" t="str">
        <x:v>Faculty</x:v>
      </x:c>
      <x:c r="H17" s="3" t="str">
        <x:v>Isolated API test</x:v>
      </x:c>
      <x:c r="I17" s="3" t="str">
        <x:v>POST /api/v1/problems/ as the problem owner
Inputs: {"testCases": [{"marks": -1}]}</x:v>
      </x:c>
      <x:c r="J17" s="3" t="str">
        <x:v>HTTP 400; invalid input does not create a problem</x:v>
      </x:c>
      <x:c r="K17" s="3" t="str">
        <x:v>HTTP 500: "Server error"</x:v>
      </x:c>
      <x:c r="L17" s="3" t="str">
        <x:v>Define integer nonnegative marks and calculate totals from validated saved cases.</x:v>
      </x:c>
      <x:c r="M17" s="3" t="str">
        <x:v>Invalid marks return 400; saved total equals the sum of case marks.</x:v>
      </x:c>
      <x:c r="N17" s="3" t="str">
        <x:v>API-P09, API-P10, API-P11, API-U04</x:v>
      </x:c>
      <x:c r="O17" s="3" t="str">
        <x:v>apps/problems/views.py:ProblemListCreateView
apps/problems/views.py:ProblemDetailUpdateDeleteView</x:v>
      </x:c>
      <x:c r="P17" s="10" t="str">
        <x:v>Closed</x:v>
      </x:c>
      <x:c r="Q17" s="10" t="str">
        <x:v>Codex</x:v>
      </x:c>
      <x:c r="R17" s="10" t="str">
        <x:v>Passed</x:v>
      </x:c>
      <x:c r="S17" s="10" t="str">
        <x:v>14 Oct 2026 — All linked acceptance checks passed: API-P09, API-P10, API-P11, API-U04. Detailed retest observations are preserved in the Scenarios retest columns and saved test evidence.</x:v>
      </x:c>
      <x:c r="T17" s="3" t="str">
        <x:f>IF(AND(P17="Closed",R17="Passed"),"Verified fixed",IF(P17="Closed","Needs retest",P17))</x:f>
        <x:v>Verified fixed</x:v>
      </x:c>
    </x:row>
    <x:row r="18" ht="92" customHeight="1">
      <x:c r="A18" s="3" t="str">
        <x:v>B012</x:v>
      </x:c>
      <x:c r="B18" s="3" t="str">
        <x:v>P2</x:v>
      </x:c>
      <x:c r="C18" s="3" t="str">
        <x:v>Defect</x:v>
      </x:c>
      <x:c r="D18" s="3" t="str">
        <x:v>Assessment assignment</x:v>
      </x:c>
      <x:c r="E18" s="3" t="str">
        <x:v>Malformed assignment IDs cause HTTP 500</x:v>
      </x:c>
      <x:c r="F18" s="3" t="str">
        <x:v>Invalid UUID values break assessment assignment requests.</x:v>
      </x:c>
      <x:c r="G18" s="3" t="str">
        <x:v>Faculty</x:v>
      </x:c>
      <x:c r="H18" s="3" t="str">
        <x:v>Isolated API test</x:v>
      </x:c>
      <x:c r="I18" s="3" t="str">
        <x:v>POST assessment student assignment
Inputs: {"studentIds": ["not-a-uuid"]}</x:v>
      </x:c>
      <x:c r="J18" s="3" t="str">
        <x:v>HTTP 400, no assignment made</x:v>
      </x:c>
      <x:c r="K18" s="3" t="str">
        <x:v>HTTP 500: "Server error"</x:v>
      </x:c>
      <x:c r="L18" s="3" t="str">
        <x:v>Validate a list of UUIDs before querying and report unknown IDs explicitly.</x:v>
      </x:c>
      <x:c r="M18" s="3" t="str">
        <x:v>Invalid IDs return 400 and existing assignments remain unchanged.</x:v>
      </x:c>
      <x:c r="N18" s="3" t="str">
        <x:v>API-AS01, API-AS02, API-AS03</x:v>
      </x:c>
      <x:c r="O18" s="3" t="str">
        <x:v>apps/contests/views.py:AssignContestToStudentsView</x:v>
      </x:c>
      <x:c r="P18" s="10" t="str">
        <x:v>Closed</x:v>
      </x:c>
      <x:c r="Q18" s="10" t="str">
        <x:v>Codex</x:v>
      </x:c>
      <x:c r="R18" s="10" t="str">
        <x:v>Passed</x:v>
      </x:c>
      <x:c r="S18" s="10" t="str">
        <x:v>14 Oct 2026 — All linked acceptance checks passed: API-AS01, API-AS02, API-AS03. Detailed retest observations are preserved in the Scenarios retest columns and saved test evidence.</x:v>
      </x:c>
      <x:c r="T18" s="3" t="str">
        <x:f>IF(AND(P18="Closed",R18="Passed"),"Verified fixed",IF(P18="Closed","Needs retest",P18))</x:f>
        <x:v>Verified fixed</x:v>
      </x:c>
    </x:row>
    <x:row r="19" ht="92" customHeight="1">
      <x:c r="A19" s="3" t="str">
        <x:v>B013</x:v>
      </x:c>
      <x:c r="B19" s="3" t="str">
        <x:v>P2</x:v>
      </x:c>
      <x:c r="C19" s="3" t="str">
        <x:v>Defect</x:v>
      </x:c>
      <x:c r="D19" s="3" t="str">
        <x:v>Pagination and filters</x:v>
      </x:c>
      <x:c r="E19" s="3" t="str">
        <x:v>Malformed pagination causes HTTP 500</x:v>
      </x:c>
      <x:c r="F19" s="3" t="str">
        <x:v>Faculty/session administration fails for bad or negative page parameters.</x:v>
      </x:c>
      <x:c r="G19" s="3" t="str">
        <x:v>Admin</x:v>
      </x:c>
      <x:c r="H19" s="3" t="str">
        <x:v>Isolated API test</x:v>
      </x:c>
      <x:c r="I19" s="3" t="str">
        <x:v>Request admin-get-faculty-by-admin with malformed pagination
Inputs: {"page": "bad"}</x:v>
      </x:c>
      <x:c r="J19" s="3" t="str">
        <x:v>HTTP 400 validation or safe bounded HTTP 200</x:v>
      </x:c>
      <x:c r="K19" s="3" t="str">
        <x:v>HTTP 500: "Server error"</x:v>
      </x:c>
      <x:c r="L19" s="3" t="str">
        <x:v>Centralize pagination parsing, bounds and consistent error/fallback behavior.</x:v>
      </x:c>
      <x:c r="M19" s="3" t="str">
        <x:v>All malformed page/limit inputs return a documented safe response, never 500.</x:v>
      </x:c>
      <x:c r="N19" s="3" t="str">
        <x:v>API-PG02, API-PG03</x:v>
      </x:c>
      <x:c r="O19" s="3" t="str">
        <x:v>apps/users/views_admin.py / apps/submissions/views.py</x:v>
      </x:c>
      <x:c r="P19" s="10" t="str">
        <x:v>Closed</x:v>
      </x:c>
      <x:c r="Q19" s="10" t="str">
        <x:v>Codex</x:v>
      </x:c>
      <x:c r="R19" s="10" t="str">
        <x:v>Passed</x:v>
      </x:c>
      <x:c r="S19" s="10" t="str">
        <x:v>14 Oct 2026 — All linked acceptance checks passed: API-PG02, API-PG03. Detailed retest observations are preserved in the Scenarios retest columns and saved test evidence.</x:v>
      </x:c>
      <x:c r="T19" s="3" t="str">
        <x:f>IF(AND(P19="Closed",R19="Passed"),"Verified fixed",IF(P19="Closed","Needs retest",P19))</x:f>
        <x:v>Verified fixed</x:v>
      </x:c>
    </x:row>
    <x:row r="20" ht="92" customHeight="1">
      <x:c r="A20" s="3" t="str">
        <x:v>B014</x:v>
      </x:c>
      <x:c r="B20" s="3" t="str">
        <x:v>P2</x:v>
      </x:c>
      <x:c r="C20" s="3" t="str">
        <x:v>Defect</x:v>
      </x:c>
      <x:c r="D20" s="3" t="str">
        <x:v>Code execution and grading</x:v>
      </x:c>
      <x:c r="E20" s="3" t="str">
        <x:v>Invalid language types crash execution</x:v>
      </x:c>
      <x:c r="F20" s="3" t="str">
        <x:v>A list value reaches string operations and raises a server error.</x:v>
      </x:c>
      <x:c r="G20" s="3" t="str">
        <x:v>Faculty</x:v>
      </x:c>
      <x:c r="H20" s="3" t="str">
        <x:v>Isolated API test</x:v>
      </x:c>
      <x:c r="I20" s="3" t="str">
        <x:v>POST compiler/run-code with a list instead of a language string</x:v>
      </x:c>
      <x:c r="J20" s="3" t="str">
        <x:v>HTTP 400 validation; no Judge0 request</x:v>
      </x:c>
      <x:c r="K20" s="3" t="str">
        <x:v>HTTP 500: "Server error"</x:v>
      </x:c>
      <x:c r="L20" s="3" t="str">
        <x:v>Validate language and source types with an explicit supported-language choice.</x:v>
      </x:c>
      <x:c r="M20" s="3" t="str">
        <x:v>Malformed language returns 400 before any judge request.</x:v>
      </x:c>
      <x:c r="N20" s="3" t="str">
        <x:v>API-E01</x:v>
      </x:c>
      <x:c r="O20" s="3" t="str">
        <x:v>apps/execution/views.py:RunCodeView / services.py:get_language_id</x:v>
      </x:c>
      <x:c r="P20" s="10" t="str">
        <x:v>Closed</x:v>
      </x:c>
      <x:c r="Q20" s="10" t="str">
        <x:v>Codex</x:v>
      </x:c>
      <x:c r="R20" s="10" t="str">
        <x:v>Passed</x:v>
      </x:c>
      <x:c r="S20" s="10" t="str">
        <x:v>14 Oct 2026 — All linked acceptance checks passed: API-E01. Detailed retest observations are preserved in the Scenarios retest columns and saved test evidence.</x:v>
      </x:c>
      <x:c r="T20" s="3" t="str">
        <x:f>IF(AND(P20="Closed",R20="Passed"),"Verified fixed",IF(P20="Closed","Needs retest",P20))</x:f>
        <x:v>Verified fixed</x:v>
      </x:c>
    </x:row>
    <x:row r="21" ht="92" customHeight="1">
      <x:c r="A21" s="3" t="str">
        <x:v>B015</x:v>
      </x:c>
      <x:c r="B21" s="3" t="str">
        <x:v>P2</x:v>
      </x:c>
      <x:c r="C21" s="3" t="str">
        <x:v>Defect</x:v>
      </x:c>
      <x:c r="D21" s="3" t="str">
        <x:v>Code drafts</x:v>
      </x:c>
      <x:c r="E21" s="3" t="str">
        <x:v>Draft API accepts non-text source</x:v>
      </x:c>
      <x:c r="F21" s="3" t="str">
        <x:v>Objects can be saved as code and later supplied to the editor.</x:v>
      </x:c>
      <x:c r="G21" s="3" t="str">
        <x:v>Faculty</x:v>
      </x:c>
      <x:c r="H21" s="3" t="str">
        <x:v>Isolated API test</x:v>
      </x:c>
      <x:c r="I21" s="3" t="str">
        <x:v>POST compile/saveCode with an object as the Python source</x:v>
      </x:c>
      <x:c r="J21" s="3" t="str">
        <x:v>HTTP 400 for non-string source values</x:v>
      </x:c>
      <x:c r="K21" s="3" t="str">
        <x:v>HTTP 200: {"success": true, "message": "Code saved successfully", "code": {"_id": "4f8533fa-5304-4f17-83de-89e4425286f5", "userId": "ba128ce7-2ec5-4d3c-a874-8f81acd098e7", "problemId": "6afd5fec-159a-4f03-9755-5960ac65141a", "codeByLanguage": {"python": {"not": "source text"}}, "updated_at": "2026-10-14T04:58:36.852885Z"}}</x:v>
      </x:c>
      <x:c r="L21" s="3" t="str">
        <x:v>Validate codeByLanguage as supported language keys with string values.</x:v>
      </x:c>
      <x:c r="M21" s="3" t="str">
        <x:v>Non-text drafts return 400; existing valid code remains readable.</x:v>
      </x:c>
      <x:c r="N21" s="3" t="str">
        <x:v>API-D01</x:v>
      </x:c>
      <x:c r="O21" s="3" t="str">
        <x:v>apps/code_drafts/serializers.py:CodeDraftSaveSerializer</x:v>
      </x:c>
      <x:c r="P21" s="10" t="str">
        <x:v>Closed</x:v>
      </x:c>
      <x:c r="Q21" s="10" t="str">
        <x:v>Codex</x:v>
      </x:c>
      <x:c r="R21" s="10" t="str">
        <x:v>Passed</x:v>
      </x:c>
      <x:c r="S21" s="10" t="str">
        <x:v>14 Oct 2026 — All linked acceptance checks passed: API-D01. Detailed retest observations are preserved in the Scenarios retest columns and saved test evidence.</x:v>
      </x:c>
      <x:c r="T21" s="3" t="str">
        <x:f>IF(AND(P21="Closed",R21="Passed"),"Verified fixed",IF(P21="Closed","Needs retest",P21))</x:f>
        <x:v>Verified fixed</x:v>
      </x:c>
    </x:row>
    <x:row r="22" ht="209" customHeight="1">
      <x:c r="A22" s="3" t="str">
        <x:v>B016</x:v>
      </x:c>
      <x:c r="B22" s="3" t="str">
        <x:v>P2</x:v>
      </x:c>
      <x:c r="C22" s="3" t="str">
        <x:v>Defect</x:v>
      </x:c>
      <x:c r="D22" s="3" t="str">
        <x:v>Assessment scheduling</x:v>
      </x:c>
      <x:c r="E22" s="3" t="str">
        <x:v>Partial date updates allow reversed windows</x:v>
      </x:c>
      <x:c r="F22" s="3" t="str">
        <x:v>Updating one date bypasses validation against the existing other date.</x:v>
      </x:c>
      <x:c r="G22" s="3" t="str">
        <x:v>Faculty</x:v>
      </x:c>
      <x:c r="H22" s="3" t="str">
        <x:v>Isolated API test</x:v>
      </x:c>
      <x:c r="I22" s="3" t="str">
        <x:v>PUT only one date field for an existing assessment
Inputs: {"end_time": "2000-01-01T00:00:00Z"}</x:v>
      </x:c>
      <x:c r="J22" s="3" t="str">
        <x:v>HTTP 400; opening remains before closing</x:v>
      </x:c>
      <x:c r="K22" s="3" t="str">
        <x:v>HTTP 200: {"_id": "c526c3a0-77de-49bf-a5b2-c821f717f3fb", "id": "c526c3a0-77de-49bf-a5b2-c821f717f3fb", "name": "QA assessment", "description": "QA", "created_by": {"_id": "2f795ded-5527-4e3e-ac4a-c9e280f82e45", "id": "2f795ded-5527-4e3e-ac4a-c9e280f82e45", "username": "qa_faculty", "email": "faculty@example.test", "role": "faculty"}, "problems": [{"_id": "481b9f0e-0d41-450e-939d-2186e1c858d9", "id": "481b9f0e-0d41-450e-939d-2186e1c858d9", "title": "QA pair sum", "name": "QA pair sum", "difficulty": "easy", "maxMarks": 20, "createdAt": "2026-10-14T04:58:34.747445Z"}], "assignedStudents": ["ad9b806e-f041-4753-87e0-9f025a0b4db3"], "start_time": "2026-10-14T03:58:34.750015Z", "end_time": "2000-01-01T00:00:00Z", "status": "completed", "createdAt": "2026-10-14T04:58:34.750073Z", "updatedAt": "2026-10-14T04:58:34.760318Z"}</x:v>
      </x:c>
      <x:c r="L22" s="3" t="str">
        <x:v>Validate the combined existing and proposed start/end values.</x:v>
      </x:c>
      <x:c r="M22" s="3" t="str">
        <x:v>End-before-start updates return 400 without changing either date.</x:v>
      </x:c>
      <x:c r="N22" s="3" t="str">
        <x:v>API-C01, API-C02</x:v>
      </x:c>
      <x:c r="O22" s="3" t="str">
        <x:v>apps/contests/serializers.py:ContestCreateUpdateSerializer.validate</x:v>
      </x:c>
      <x:c r="P22" s="10" t="str">
        <x:v>Closed</x:v>
      </x:c>
      <x:c r="Q22" s="10" t="str">
        <x:v>Codex</x:v>
      </x:c>
      <x:c r="R22" s="10" t="str">
        <x:v>Passed</x:v>
      </x:c>
      <x:c r="S22" s="10" t="str">
        <x:v>14 Oct 2026 — All linked acceptance checks passed: API-C01, API-C02. Detailed retest observations are preserved in the Scenarios retest columns and saved test evidence.</x:v>
      </x:c>
      <x:c r="T22" s="3" t="str">
        <x:f>IF(AND(P22="Closed",R22="Passed"),"Verified fixed",IF(P22="Closed","Needs retest",P22))</x:f>
        <x:v>Verified fixed</x:v>
      </x:c>
    </x:row>
    <x:row r="23" ht="144" customHeight="1">
      <x:c r="A23" s="3" t="str">
        <x:v>B017</x:v>
      </x:c>
      <x:c r="B23" s="3" t="str">
        <x:v>P2</x:v>
      </x:c>
      <x:c r="C23" s="3" t="str">
        <x:v>Defect</x:v>
      </x:c>
      <x:c r="D23" s="3" t="str">
        <x:v>Assessment scheduling</x:v>
      </x:c>
      <x:c r="E23" s="3" t="str">
        <x:v>Unknown problem IDs are silently omitted</x:v>
      </x:c>
      <x:c r="F23" s="3" t="str">
        <x:v>Assessment creation reports success while its requested problem is absent.</x:v>
      </x:c>
      <x:c r="G23" s="3" t="str">
        <x:v>Faculty</x:v>
      </x:c>
      <x:c r="H23" s="3" t="str">
        <x:v>Isolated API test</x:v>
      </x:c>
      <x:c r="I23" s="3" t="str">
        <x:v>POST /api/v1/contests/create with a non-existent problem UUID</x:v>
      </x:c>
      <x:c r="J23" s="3" t="str">
        <x:v>HTTP 400 identifying missing problem</x:v>
      </x:c>
      <x:c r="K23" s="3" t="str">
        <x:v>HTTP 201: {"_id": "0fb19e27-dd60-42da-9b57-374f45414e2b", "id": "0fb19e27-dd60-42da-9b57-374f45414e2b", "name": "QA missing problem", "description": "QA", "created_by": {"_id": "9f3baaa1-309b-47d9-be91-fe84317079ee", "id": "9f3baaa1-309b-47d9-be91-fe84317079ee", "username": "qa_faculty", "email": "faculty@example.test", "role": "faculty"}, "problems": [], "assignedStudents": [], "start_time": "2026-10-14T04:58:34.844042Z", "end_time": "2026-10-14T05:58:34.844042Z", "status": "ongoing", "createdAt": "2026-10-14T04:58:34.847181Z", "updatedAt": "2026-10-14T04:58:34.847413Z"}</x:v>
      </x:c>
      <x:c r="L23" s="3" t="str">
        <x:v>Validate every supplied problem ID and access permission before creation.</x:v>
      </x:c>
      <x:c r="M23" s="3" t="str">
        <x:v>Unknown IDs return 400/404 and no incomplete assessment is created.</x:v>
      </x:c>
      <x:c r="N23" s="3" t="str">
        <x:v>API-C03</x:v>
      </x:c>
      <x:c r="O23" s="3" t="str">
        <x:v>apps/contests/views.py:resolve_contest_problems</x:v>
      </x:c>
      <x:c r="P23" s="10" t="str">
        <x:v>Closed</x:v>
      </x:c>
      <x:c r="Q23" s="10" t="str">
        <x:v>Codex</x:v>
      </x:c>
      <x:c r="R23" s="10" t="str">
        <x:v>Passed</x:v>
      </x:c>
      <x:c r="S23" s="10" t="str">
        <x:v>14 Oct 2026 — All linked acceptance checks passed: API-C03. Detailed retest observations are preserved in the Scenarios retest columns and saved test evidence.</x:v>
      </x:c>
      <x:c r="T23" s="3" t="str">
        <x:f>IF(AND(P23="Closed",R23="Passed"),"Verified fixed",IF(P23="Closed","Needs retest",P23))</x:f>
        <x:v>Verified fixed</x:v>
      </x:c>
    </x:row>
    <x:row r="24" ht="92" customHeight="1">
      <x:c r="A24" s="3" t="str">
        <x:v>B018</x:v>
      </x:c>
      <x:c r="B24" s="3" t="str">
        <x:v>P2</x:v>
      </x:c>
      <x:c r="C24" s="3" t="str">
        <x:v>Security flaw</x:v>
      </x:c>
      <x:c r="D24" s="3" t="str">
        <x:v>Authentication and sessions</x:v>
      </x:c>
      <x:c r="E24" s="3" t="str">
        <x:v>Inactive accounts receive login tokens</x:v>
      </x:c>
      <x:c r="F24" s="3" t="str">
        <x:v>A disabled faculty account is reported successfully logged in.</x:v>
      </x:c>
      <x:c r="G24" s="3" t="str">
        <x:v>Faculty</x:v>
      </x:c>
      <x:c r="H24" s="3" t="str">
        <x:v>Isolated API test</x:v>
      </x:c>
      <x:c r="I24" s="3" t="str">
        <x:v>Deactivate a faculty test user and submit its valid credentials</x:v>
      </x:c>
      <x:c r="J24" s="3" t="str">
        <x:v>HTTP 400/401/403, no access token</x:v>
      </x:c>
      <x:c r="K24" s="3" t="str">
        <x:v>HTTP 200; success=True; token issued=True</x:v>
      </x:c>
      <x:c r="L24" s="3" t="str">
        <x:v>Reject inactive users during credential verification and token issuance.</x:v>
      </x:c>
      <x:c r="M24" s="3" t="str">
        <x:v>Inactive accounts receive no token/cookie; reactivated valid accounts work.</x:v>
      </x:c>
      <x:c r="N24" s="3" t="str">
        <x:v>API-A03</x:v>
      </x:c>
      <x:c r="O24" s="3" t="str">
        <x:v>apps/users/views.py:LoginView</x:v>
      </x:c>
      <x:c r="P24" s="10" t="str">
        <x:v>Closed</x:v>
      </x:c>
      <x:c r="Q24" s="10" t="str">
        <x:v>Codex</x:v>
      </x:c>
      <x:c r="R24" s="10" t="str">
        <x:v>Passed</x:v>
      </x:c>
      <x:c r="S24" s="10" t="str">
        <x:v>14 Oct 2026 — All linked acceptance checks passed: API-A03. Detailed retest observations are preserved in the Scenarios retest columns and saved test evidence.</x:v>
      </x:c>
      <x:c r="T24" s="3" t="str">
        <x:f>IF(AND(P24="Closed",R24="Passed"),"Verified fixed",IF(P24="Closed","Needs retest",P24))</x:f>
        <x:v>Verified fixed</x:v>
      </x:c>
    </x:row>
    <x:row r="25" ht="92" customHeight="1">
      <x:c r="A25" s="3" t="str">
        <x:v>B019</x:v>
      </x:c>
      <x:c r="B25" s="3" t="str">
        <x:v>P2</x:v>
      </x:c>
      <x:c r="C25" s="3" t="str">
        <x:v>Defect</x:v>
      </x:c>
      <x:c r="D25" s="3" t="str">
        <x:v>Profile</x:v>
      </x:c>
      <x:c r="E25" s="3" t="str">
        <x:v>Avatar upload accepts text files</x:v>
      </x:c>
      <x:c r="F25" s="3" t="str">
        <x:v>Invalid image content is persisted as a successful avatar.</x:v>
      </x:c>
      <x:c r="G25" s="3" t="str">
        <x:v>Faculty</x:v>
      </x:c>
      <x:c r="H25" s="3" t="str">
        <x:v>Isolated API test</x:v>
      </x:c>
      <x:c r="I25" s="3" t="str">
        <x:v>POST /api/v1/user/upload-avatar with a text/plain file</x:v>
      </x:c>
      <x:c r="J25" s="3" t="str">
        <x:v>HTTP 400; no replacement of existing avatar</x:v>
      </x:c>
      <x:c r="K25" s="3" t="str">
        <x:v>HTTP 200: {"message": "Avatar uploaded successfully.", "fileId": "92afe611-6b01-4067-9f6b-d613862730fa"}</x:v>
      </x:c>
      <x:c r="L25" s="3" t="str">
        <x:v>Decode and validate images before replacing the old avatar; define size/type limits.</x:v>
      </x:c>
      <x:c r="M25" s="3" t="str">
        <x:v>Non-images return 400 and preserve the existing avatar.</x:v>
      </x:c>
      <x:c r="N25" s="3" t="str">
        <x:v>API-PR02</x:v>
      </x:c>
      <x:c r="O25" s="3" t="str">
        <x:v>apps/users/views.py:UploadAvatarView</x:v>
      </x:c>
      <x:c r="P25" s="10" t="str">
        <x:v>Closed</x:v>
      </x:c>
      <x:c r="Q25" s="10" t="str">
        <x:v>Codex</x:v>
      </x:c>
      <x:c r="R25" s="10" t="str">
        <x:v>Passed</x:v>
      </x:c>
      <x:c r="S25" s="10" t="str">
        <x:v>14 Oct 2026 — All linked acceptance checks passed: API-PR02. Detailed retest observations are preserved in the Scenarios retest columns and saved test evidence.</x:v>
      </x:c>
      <x:c r="T25" s="3" t="str">
        <x:f>IF(AND(P25="Closed",R25="Passed"),"Verified fixed",IF(P25="Closed","Needs retest",P25))</x:f>
        <x:v>Verified fixed</x:v>
      </x:c>
    </x:row>
    <x:row r="26" ht="92" customHeight="1">
      <x:c r="A26" s="3" t="str">
        <x:v>B020</x:v>
      </x:c>
      <x:c r="B26" s="3" t="str">
        <x:v>P2</x:v>
      </x:c>
      <x:c r="C26" s="3" t="str">
        <x:v>Defect</x:v>
      </x:c>
      <x:c r="D26" s="3" t="str">
        <x:v>Profile</x:v>
      </x:c>
      <x:c r="E26" s="3" t="str">
        <x:v>Profile accepts invalid dates and URL schemes</x:v>
      </x:c>
      <x:c r="F26" s="3" t="str">
        <x:v>Invalid birthday text and javascript URLs are stored. No browser script execution was demonstrated.</x:v>
      </x:c>
      <x:c r="G26" s="3" t="str">
        <x:v>Faculty</x:v>
      </x:c>
      <x:c r="H26" s="3" t="str">
        <x:v>Isolated API test</x:v>
      </x:c>
      <x:c r="I26" s="3" t="str">
        <x:v>PUT /api/v1/user/update
Inputs: birthday=not-a-date</x:v>
      </x:c>
      <x:c r="J26" s="3" t="str">
        <x:v>HTTP 400 with field validation</x:v>
      </x:c>
      <x:c r="K26" s="3" t="str">
        <x:v>HTTP 200: {"message": "Profile updated successfully", "user": {"username": "qa_faculty", "profile": {"name": "QA name", "bio": null, "avatar": null, "github": null, "linkedIn": null, "birthday": "not-a-date", "gender": null, "skills": null, "education": null, "location": null}, "email": "faculty@example.test"}, "success": true}</x:v>
      </x:c>
      <x:c r="L26" s="3" t="str">
        <x:v>Validate dates and allow appropriate https/http URL schemes on profile writes.</x:v>
      </x:c>
      <x:c r="M26" s="3" t="str">
        <x:v>Invalid dates and unsafe URL schemes return field errors without mutation.</x:v>
      </x:c>
      <x:c r="N26" s="3" t="str">
        <x:v>API-PR04, API-PR05</x:v>
      </x:c>
      <x:c r="O26" s="3" t="str">
        <x:v>apps/users/serializers.py:UpdateProfileSerializer</x:v>
      </x:c>
      <x:c r="P26" s="10" t="str">
        <x:v>Closed</x:v>
      </x:c>
      <x:c r="Q26" s="10" t="str">
        <x:v>Codex</x:v>
      </x:c>
      <x:c r="R26" s="10" t="str">
        <x:v>Passed</x:v>
      </x:c>
      <x:c r="S26" s="10" t="str">
        <x:v>14 Oct 2026 — All linked acceptance checks passed: API-PR04, API-PR05. Detailed retest observations are preserved in the Scenarios retest columns and saved test evidence.</x:v>
      </x:c>
      <x:c r="T26" s="3" t="str">
        <x:f>IF(AND(P26="Closed",R26="Passed"),"Verified fixed",IF(P26="Closed","Needs retest",P26))</x:f>
        <x:v>Verified fixed</x:v>
      </x:c>
    </x:row>
    <x:row r="27" ht="92" customHeight="1">
      <x:c r="A27" s="3" t="str">
        <x:v>B021</x:v>
      </x:c>
      <x:c r="B27" s="3" t="str">
        <x:v>P2</x:v>
      </x:c>
      <x:c r="C27" s="3" t="str">
        <x:v>Defect</x:v>
      </x:c>
      <x:c r="D27" s="3" t="str">
        <x:v>Rankings and exports</x:v>
      </x:c>
      <x:c r="E27" s="3" t="str">
        <x:v>Display sorting changes earned rank</x:v>
      </x:c>
      <x:c r="F27" s="3" t="str">
        <x:v>The lower score becomes rank 1 when the table is sorted ascending.</x:v>
      </x:c>
      <x:c r="G27" s="3" t="str">
        <x:v>Faculty</x:v>
      </x:c>
      <x:c r="H27" s="3" t="str">
        <x:v>Isolated API test</x:v>
      </x:c>
      <x:c r="I27" s="3" t="str">
        <x:v>Create assigned students scoring 20 and 5; request leaderboard sorted ascending by score or student ID
Inputs: sortBy=totalMarks; sortOrder=asc</x:v>
      </x:c>
      <x:c r="J27" s="3" t="str">
        <x:v>20-mark student rank=1 regardless of ascending score/ID display order</x:v>
      </x:c>
      <x:c r="K27" s="3" t="str">
        <x:v>[{"rank": 1, "studentId": "aaa001", "totalMarks": 5}, {"rank": 2, "studentId": "qa22it001", "totalMarks": 20}]</x:v>
      </x:c>
      <x:c r="L27" s="3" t="str">
        <x:v>Compute ranking from scoring rules once, then sort the displayed rows independently.</x:v>
      </x:c>
      <x:c r="M27" s="3" t="str">
        <x:v>Highest-scoring student keeps rank 1 across every display sort.</x:v>
      </x:c>
      <x:c r="N27" s="3" t="str">
        <x:v>API-LB01, API-LB02</x:v>
      </x:c>
      <x:c r="O27" s="3" t="str">
        <x:v>apps/contests/views.py:ContestDashboardView</x:v>
      </x:c>
      <x:c r="P27" s="10" t="str">
        <x:v>Closed</x:v>
      </x:c>
      <x:c r="Q27" s="10" t="str">
        <x:v>Codex</x:v>
      </x:c>
      <x:c r="R27" s="10" t="str">
        <x:v>Passed</x:v>
      </x:c>
      <x:c r="S27" s="10" t="str">
        <x:v>14 Oct 2026 — All linked acceptance checks passed: API-LB01, API-LB02. Detailed retest observations are preserved in the Scenarios retest columns and saved test evidence.</x:v>
      </x:c>
      <x:c r="T27" s="3" t="str">
        <x:f>IF(AND(P27="Closed",R27="Passed"),"Verified fixed",IF(P27="Closed","Needs retest",P27))</x:f>
        <x:v>Verified fixed</x:v>
      </x:c>
    </x:row>
    <x:row r="28" ht="92" customHeight="1">
      <x:c r="A28" s="3" t="str">
        <x:v>B022</x:v>
      </x:c>
      <x:c r="B28" s="3" t="str">
        <x:v>P2</x:v>
      </x:c>
      <x:c r="C28" s="3" t="str">
        <x:v>Defect</x:v>
      </x:c>
      <x:c r="D28" s="3" t="str">
        <x:v>Rankings and exports</x:v>
      </x:c>
      <x:c r="E28" s="3" t="str">
        <x:v>Ranking times are unlabelled UTC</x:v>
      </x:c>
      <x:c r="F28" s="3" t="str">
        <x:v>Ranking time differs from the application’s IST assessment display.</x:v>
      </x:c>
      <x:c r="G28" s="3" t="str">
        <x:v>Faculty</x:v>
      </x:c>
      <x:c r="H28" s="3" t="str">
        <x:v>Isolated API test</x:v>
      </x:c>
      <x:c r="I28" s="3" t="str">
        <x:v>Create a 00:30 UTC submission within an active window and request its assessment dashboard</x:v>
      </x:c>
      <x:c r="J28" s="3" t="str">
        <x:v>06:00:00 AM IST for a 00:30 UTC submission</x:v>
      </x:c>
      <x:c r="K28" s="3" t="str">
        <x:v>API displays 12:30:00 AM without a timezone; IST equivalent is 06:00:00 AM</x:v>
      </x:c>
      <x:c r="L28" s="3" t="str">
        <x:v>Return an ISO timestamp and render a consistent timezone with a visible label.</x:v>
      </x:c>
      <x:c r="M28" s="3" t="str">
        <x:v>00:30 UTC is displayed as 06:00 IST or explicitly labelled UTC.</x:v>
      </x:c>
      <x:c r="N28" s="3" t="str">
        <x:v>API-LB03</x:v>
      </x:c>
      <x:c r="O28" s="3" t="str">
        <x:v>apps/contests/views.py:ContestDashboardView datetime formatting</x:v>
      </x:c>
      <x:c r="P28" s="10" t="str">
        <x:v>Closed</x:v>
      </x:c>
      <x:c r="Q28" s="10" t="str">
        <x:v>Codex</x:v>
      </x:c>
      <x:c r="R28" s="10" t="str">
        <x:v>Passed</x:v>
      </x:c>
      <x:c r="S28" s="10" t="str">
        <x:v>14 Oct 2026 — All linked acceptance checks passed: API-LB03. Detailed retest observations are preserved in the Scenarios retest columns and saved test evidence.</x:v>
      </x:c>
      <x:c r="T28" s="3" t="str">
        <x:f>IF(AND(P28="Closed",R28="Passed"),"Verified fixed",IF(P28="Closed","Needs retest",P28))</x:f>
        <x:v>Verified fixed</x:v>
      </x:c>
    </x:row>
    <x:row r="29" ht="92" customHeight="1">
      <x:c r="A29" s="3" t="str">
        <x:v>B023</x:v>
      </x:c>
      <x:c r="B29" s="3" t="str">
        <x:v>P2</x:v>
      </x:c>
      <x:c r="C29" s="3" t="str">
        <x:v>Defect</x:v>
      </x:c>
      <x:c r="D29" s="3" t="str">
        <x:v>Authentication and sessions</x:v>
      </x:c>
      <x:c r="E29" s="3" t="str">
        <x:v>Malformed login input crashes the page</x:v>
      </x:c>
      <x:c r="F29" s="3" t="str">
        <x:v>Backend validation objects are rendered directly as toast content.</x:v>
      </x:c>
      <x:c r="G29" s="3" t="str">
        <x:v>Guest</x:v>
      </x:c>
      <x:c r="H29" s="3" t="str">
        <x:v>Live browser/API</x:v>
      </x:c>
      <x:c r="I29" s="3" t="str">
        <x:v>Open login; enter the scenario input and a wrong password; click Login
Inputs: bad@</x:v>
      </x:c>
      <x:c r="J29" s="3" t="str">
        <x:v>Login remains visible, shows a useful validation error and does not navigate</x:v>
      </x:c>
      <x:c r="K29" s="3" t="str">
        <x:v>Login visible=false; URL=http://localhost:5173/; page errors=["Minified React error #31; visit https://reactjs.org/docs/error-decoder.html?invariant=31&amp;args[]=object%20with%20keys%20%7Bemail%7D for the full message or use the non-minified dev environment for full errors and additional helpful warnings."]</x:v>
      </x:c>
      <x:c r="L29" s="3" t="str">
        <x:v>Normalize error payloads to readable strings and retain a recoverable login screen.</x:v>
      </x:c>
      <x:c r="M29" s="3" t="str">
        <x:v>Malformed email/ID shows a clear error with the login form still usable.</x:v>
      </x:c>
      <x:c r="N29" s="3" t="str">
        <x:v>UI-A03</x:v>
      </x:c>
      <x:c r="O29" s="3" t="str">
        <x:v>client/src/componets/Login.jsx:handleLogin</x:v>
      </x:c>
      <x:c r="P29" s="10" t="str">
        <x:v>Closed</x:v>
      </x:c>
      <x:c r="Q29" s="10" t="str">
        <x:v>Codex</x:v>
      </x:c>
      <x:c r="R29" s="10" t="str">
        <x:v>Passed</x:v>
      </x:c>
      <x:c r="S29" s="10" t="str">
        <x:v>14 Oct 2026 — All linked acceptance checks passed: UI-A03. Detailed retest observations are preserved in the Scenarios retest columns and saved test evidence.</x:v>
      </x:c>
      <x:c r="T29" s="3" t="str">
        <x:f>IF(AND(P29="Closed",R29="Passed"),"Verified fixed",IF(P29="Closed","Needs retest",P29))</x:f>
        <x:v>Verified fixed</x:v>
      </x:c>
    </x:row>
    <x:row r="30" ht="92" customHeight="1">
      <x:c r="A30" s="3" t="str">
        <x:v>B024</x:v>
      </x:c>
      <x:c r="B30" s="3" t="str">
        <x:v>P2</x:v>
      </x:c>
      <x:c r="C30" s="3" t="str">
        <x:v>Defect</x:v>
      </x:c>
      <x:c r="D30" s="3" t="str">
        <x:v>Profile</x:v>
      </x:c>
      <x:c r="E30" s="3" t="str">
        <x:v>Saved profile leaves identity displays stale</x:v>
      </x:c>
      <x:c r="F30" s="3" t="str">
        <x:v>Header and sidebar still show the old name until refresh.</x:v>
      </x:c>
      <x:c r="G30" s="3" t="str">
        <x:v>Faculty</x:v>
      </x:c>
      <x:c r="H30" s="3" t="str">
        <x:v>Live browser/API</x:v>
      </x:c>
      <x:c r="I30" s="3" t="str">
        <x:v>Save Full Name as QA Updated Faculty; inspect the header account label before refreshing</x:v>
      </x:c>
      <x:c r="J30" s="3" t="str">
        <x:v>Header and sidebar use the new name without refreshing</x:v>
      </x:c>
      <x:c r="K30" s="3" t="str">
        <x:v>Account link label after successful save: Account for QA Faculty</x:v>
      </x:c>
      <x:c r="L30" s="3" t="str">
        <x:v>Update the shared authenticated-user state after successful profile writes.</x:v>
      </x:c>
      <x:c r="M30" s="3" t="str">
        <x:v>New identity appears immediately in profile, header and sidebar.</x:v>
      </x:c>
      <x:c r="N30" s="3" t="str">
        <x:v>UI-PR02</x:v>
      </x:c>
      <x:c r="O30" s="3" t="str">
        <x:v>client/src/componets/Profile/Profile.jsx:handleSubmit</x:v>
      </x:c>
      <x:c r="P30" s="10" t="str">
        <x:v>Closed</x:v>
      </x:c>
      <x:c r="Q30" s="10" t="str">
        <x:v>Codex</x:v>
      </x:c>
      <x:c r="R30" s="10" t="str">
        <x:v>Passed</x:v>
      </x:c>
      <x:c r="S30" s="10" t="str">
        <x:v>14 Oct 2026 — All linked acceptance checks passed: UI-PR02. Detailed retest observations are preserved in the Scenarios retest columns and saved test evidence.</x:v>
      </x:c>
      <x:c r="T30" s="3" t="str">
        <x:f>IF(AND(P30="Closed",R30="Passed"),"Verified fixed",IF(P30="Closed","Needs retest",P30))</x:f>
        <x:v>Verified fixed</x:v>
      </x:c>
    </x:row>
    <x:row r="31" ht="92" customHeight="1">
      <x:c r="A31" s="3" t="str">
        <x:v>B025</x:v>
      </x:c>
      <x:c r="B31" s="3" t="str">
        <x:v>P2</x:v>
      </x:c>
      <x:c r="C31" s="3" t="str">
        <x:v>Defect</x:v>
      </x:c>
      <x:c r="D31" s="3" t="str">
        <x:v>Profile</x:v>
      </x:c>
      <x:c r="E31" s="3" t="str">
        <x:v>Accounts without email cannot save profiles</x:v>
      </x:c>
      <x:c r="F31" s="3" t="str">
        <x:v>A read-only blank email is required by the profile save handler.</x:v>
      </x:c>
      <x:c r="G31" s="3" t="str">
        <x:v>Admin</x:v>
      </x:c>
      <x:c r="H31" s="3" t="str">
        <x:v>Live browser/API</x:v>
      </x:c>
      <x:c r="I31" s="3" t="str">
        <x:v>Use a temporary allowed account with email=null; edit its name and save</x:v>
      </x:c>
      <x:c r="J31" s="3" t="str">
        <x:v>Profile save succeeds or the user can add the required email</x:v>
      </x:c>
      <x:c r="K31" s="3" t="str">
        <x:v>Email blank=true; email read-only=true; saving shows Username and email are required</x:v>
      </x:c>
      <x:c r="L31" s="3" t="str">
        <x:v>Permit valid updates for allowed email-null accounts or offer a validated editable email field.</x:v>
      </x:c>
      <x:c r="M31" s="3" t="str">
        <x:v>An allowed account without email can save its valid name change.</x:v>
      </x:c>
      <x:c r="N31" s="3" t="str">
        <x:v>UI-PR04</x:v>
      </x:c>
      <x:c r="O31" s="3" t="str">
        <x:v>client/src/componets/Profile/Profile.jsx / ProfileRight.jsx</x:v>
      </x:c>
      <x:c r="P31" s="10" t="str">
        <x:v>Closed</x:v>
      </x:c>
      <x:c r="Q31" s="10" t="str">
        <x:v>Codex</x:v>
      </x:c>
      <x:c r="R31" s="10" t="str">
        <x:v>Passed</x:v>
      </x:c>
      <x:c r="S31" s="10" t="str">
        <x:v>14 Oct 2026 — All linked acceptance checks passed: UI-PR04. Detailed retest observations are preserved in the Scenarios retest columns and saved test evidence.</x:v>
      </x:c>
      <x:c r="T31" s="3" t="str">
        <x:f>IF(AND(P31="Closed",R31="Passed"),"Verified fixed",IF(P31="Closed","Needs retest",P31))</x:f>
        <x:v>Verified fixed</x:v>
      </x:c>
    </x:row>
    <x:row r="32" ht="92" customHeight="1">
      <x:c r="A32" s="3" t="str">
        <x:v>B026</x:v>
      </x:c>
      <x:c r="B32" s="3" t="str">
        <x:v>P2</x:v>
      </x:c>
      <x:c r="C32" s="3" t="str">
        <x:v>Accessibility</x:v>
      </x:c>
      <x:c r="D32" s="3" t="str">
        <x:v>Profile</x:v>
      </x:c>
      <x:c r="E32" s="3" t="str">
        <x:v>Profile labels are not associated with controls</x:v>
      </x:c>
      <x:c r="F32" s="3" t="str">
        <x:v>Assistive tools cannot identify inputs by their visible labels.</x:v>
      </x:c>
      <x:c r="G32" s="3" t="str">
        <x:v>Faculty</x:v>
      </x:c>
      <x:c r="H32" s="3" t="str">
        <x:v>Live browser/API</x:v>
      </x:c>
      <x:c r="I32" s="3" t="str">
        <x:v>Open profile editing; inspect label-to-input association</x:v>
      </x:c>
      <x:c r="J32" s="3" t="str">
        <x:v>Full Name can be located through its label</x:v>
      </x:c>
      <x:c r="K32" s="3" t="str">
        <x:v>Inputs matched by label Full Name: 0</x:v>
      </x:c>
      <x:c r="L32" s="3" t="str">
        <x:v>Give controls unique IDs and connect labels with htmlFor; audit all forms.</x:v>
      </x:c>
      <x:c r="M32" s="3" t="str">
        <x:v>Profile controls are found by accessible label and work with keyboard/screen readers.</x:v>
      </x:c>
      <x:c r="N32" s="3" t="str">
        <x:v>UI-PR03</x:v>
      </x:c>
      <x:c r="O32" s="3" t="str">
        <x:v>client/src/componets/Profile/ProfileRight.jsx</x:v>
      </x:c>
      <x:c r="P32" s="10" t="str">
        <x:v>Closed</x:v>
      </x:c>
      <x:c r="Q32" s="10" t="str">
        <x:v>Codex</x:v>
      </x:c>
      <x:c r="R32" s="10" t="str">
        <x:v>Passed</x:v>
      </x:c>
      <x:c r="S32" s="10" t="str">
        <x:v>14 Oct 2026 — All linked acceptance checks passed: UI-PR03. Detailed retest observations are preserved in the Scenarios retest columns and saved test evidence.</x:v>
      </x:c>
      <x:c r="T32" s="3" t="str">
        <x:f>IF(AND(P32="Closed",R32="Passed"),"Verified fixed",IF(P32="Closed","Needs retest",P32))</x:f>
        <x:v>Verified fixed</x:v>
      </x:c>
    </x:row>
    <x:row r="33" ht="92" customHeight="1">
      <x:c r="A33" s="3" t="str">
        <x:v>B027</x:v>
      </x:c>
      <x:c r="B33" s="3" t="str">
        <x:v>P2</x:v>
      </x:c>
      <x:c r="C33" s="3" t="str">
        <x:v>Accessibility</x:v>
      </x:c>
      <x:c r="D33" s="3" t="str">
        <x:v>Student management</x:v>
      </x:c>
      <x:c r="E33" s="3" t="str">
        <x:v>Add-student dialog ignores Escape</x:v>
      </x:c>
      <x:c r="F33" s="3" t="str">
        <x:v>The modal remains open after Escape. Focus containment still needs separate testing.</x:v>
      </x:c>
      <x:c r="G33" s="3" t="str">
        <x:v>Faculty</x:v>
      </x:c>
      <x:c r="H33" s="3" t="str">
        <x:v>Live browser/API</x:v>
      </x:c>
      <x:c r="I33" s="3" t="str">
        <x:v>Bulk registration → Add Single Student → Escape</x:v>
      </x:c>
      <x:c r="J33" s="3" t="str">
        <x:v>Escape closes the modal and restores focus to its trigger</x:v>
      </x:c>
      <x:c r="K33" s="3" t="str">
        <x:v>Add Student dialog still visible after Escape=true</x:v>
      </x:c>
      <x:c r="L33" s="3" t="str">
        <x:v>Provide Escape dismissal, dialog semantics, focus handling and focus restoration.</x:v>
      </x:c>
      <x:c r="M33" s="3" t="str">
        <x:v>Escape closes the dialog and returns focus to the opening control.</x:v>
      </x:c>
      <x:c r="N33" s="3" t="str">
        <x:v>UI-F01</x:v>
      </x:c>
      <x:c r="O33" s="3" t="str">
        <x:v>client/src/componets/Faculty/StudentRegister.jsx</x:v>
      </x:c>
      <x:c r="P33" s="10" t="str">
        <x:v>Closed</x:v>
      </x:c>
      <x:c r="Q33" s="10" t="str">
        <x:v>Codex</x:v>
      </x:c>
      <x:c r="R33" s="10" t="str">
        <x:v>Passed</x:v>
      </x:c>
      <x:c r="S33" s="10" t="str">
        <x:v>14 Oct 2026 — All linked acceptance checks passed: UI-F01. Detailed retest observations are preserved in the Scenarios retest columns and saved test evidence.</x:v>
      </x:c>
      <x:c r="T33" s="3" t="str">
        <x:f>IF(AND(P33="Closed",R33="Passed"),"Verified fixed",IF(P33="Closed","Needs retest",P33))</x:f>
        <x:v>Verified fixed</x:v>
      </x:c>
    </x:row>
    <x:row r="34" ht="92" customHeight="1">
      <x:c r="A34" s="3" t="str">
        <x:v>B028</x:v>
      </x:c>
      <x:c r="B34" s="3" t="str">
        <x:v>P2</x:v>
      </x:c>
      <x:c r="C34" s="3" t="str">
        <x:v>Defect</x:v>
      </x:c>
      <x:c r="D34" s="3" t="str">
        <x:v>Code editor</x:v>
      </x:c>
      <x:c r="E34" s="3" t="str">
        <x:v>Editor syntax mode does not follow language</x:v>
      </x:c>
      <x:c r="F34" s="3" t="str">
        <x:v>Selecting Python changes execution language while the Monaco model remains Java.</x:v>
      </x:c>
      <x:c r="G34" s="3" t="str">
        <x:v>Student</x:v>
      </x:c>
      <x:c r="H34" s="3" t="str">
        <x:v>Live browser/API</x:v>
      </x:c>
      <x:c r="I34" s="3" t="str">
        <x:v>Open Java problem editor; select Python; inspect current editor model language</x:v>
      </x:c>
      <x:c r="J34" s="3" t="str">
        <x:v>Selecting Python changes the editor model language to python</x:v>
      </x:c>
      <x:c r="K34" s="3" t="str">
        <x:v>Selected execution language=python; editor model language=java</x:v>
      </x:c>
      <x:c r="L34" s="3" t="str">
        <x:v>Control Monaco language with the selected language rather than defaultLanguage only.</x:v>
      </x:c>
      <x:c r="M34" s="3" t="str">
        <x:v>Python/C++/Java selection updates both execution and editor syntax mode.</x:v>
      </x:c>
      <x:c r="N34" s="3" t="str">
        <x:v>UI-E02</x:v>
      </x:c>
      <x:c r="O34" s="3" t="str">
        <x:v>client/src/componets/CodeEditor/CodeEditorArea.jsx</x:v>
      </x:c>
      <x:c r="P34" s="10" t="str">
        <x:v>Closed</x:v>
      </x:c>
      <x:c r="Q34" s="10" t="str">
        <x:v>Codex</x:v>
      </x:c>
      <x:c r="R34" s="10" t="str">
        <x:v>Passed</x:v>
      </x:c>
      <x:c r="S34" s="10" t="str">
        <x:v>14 Oct 2026 — All linked acceptance checks passed: UI-E02. Detailed retest observations are preserved in the Scenarios retest columns and saved test evidence.</x:v>
      </x:c>
      <x:c r="T34" s="3" t="str">
        <x:f>IF(AND(P34="Closed",R34="Passed"),"Verified fixed",IF(P34="Closed","Needs retest",P34))</x:f>
        <x:v>Verified fixed</x:v>
      </x:c>
    </x:row>
    <x:row r="35" ht="92" customHeight="1">
      <x:c r="A35" s="3" t="str">
        <x:v>B029</x:v>
      </x:c>
      <x:c r="B35" s="3" t="str">
        <x:v>P2</x:v>
      </x:c>
      <x:c r="C35" s="3" t="str">
        <x:v>Defect</x:v>
      </x:c>
      <x:c r="D35" s="3" t="str">
        <x:v>Responsive UI</x:v>
      </x:c>
      <x:c r="E35" s="3" t="str">
        <x:v>Populated profile overflows at 320 px</x:v>
      </x:c>
      <x:c r="F35" s="3" t="str">
        <x:v>Recent submission cards increase document width to 344 px.</x:v>
      </x:c>
      <x:c r="G35" s="3" t="str">
        <x:v>Student</x:v>
      </x:c>
      <x:c r="H35" s="3" t="str">
        <x:v>Live browser/API</x:v>
      </x:c>
      <x:c r="I35" s="3" t="str">
        <x:v>Create several submissions, then open the student profile at 320px</x:v>
      </x:c>
      <x:c r="J35" s="3" t="str">
        <x:v>No document-wide horizontal overflow</x:v>
      </x:c>
      <x:c r="K35" s="3" t="str">
        <x:v>{"viewport":320,"width":344,"elements":[{"tag":"DIV","text":"","class":"flex-shrink-0 ml-4"},{"tag":"svg","class":{}},{"tag":"path","class":{}},{"tag":"DIV","text":"","class":"flex-shrink-0 ml-4"},{"tag":"svg","class":{}},{"tag":"path","class":{}},{"tag":"DIV","text":"","class":"flex-shrink-0 ml-4"},{"tag":"svg","class":{}}]}</x:v>
      </x:c>
      <x:c r="L35" s="3" t="str">
        <x:v>Allow flexible text content to shrink/wrap and keep action icons within the card.</x:v>
      </x:c>
      <x:c r="M35" s="3" t="str">
        <x:v>At 320 px the populated profile has no horizontal page overflow.</x:v>
      </x:c>
      <x:c r="N35" s="3" t="str">
        <x:v>LIVE-R320-profile</x:v>
      </x:c>
      <x:c r="O35" s="3" t="str">
        <x:v>client/src/componets/SubmissionPage.jsx / Profile/Profile.jsx</x:v>
      </x:c>
      <x:c r="P35" s="10" t="str">
        <x:v>Closed</x:v>
      </x:c>
      <x:c r="Q35" s="10" t="str">
        <x:v>Codex</x:v>
      </x:c>
      <x:c r="R35" s="10" t="str">
        <x:v>Passed</x:v>
      </x:c>
      <x:c r="S35" s="10" t="str">
        <x:v>14 Oct 2026 — All linked acceptance checks passed: LIVE-R320-profile. Detailed retest observations are preserved in the Scenarios retest columns and saved test evidence.</x:v>
      </x:c>
      <x:c r="T35" s="3" t="str">
        <x:f>IF(AND(P35="Closed",R35="Passed"),"Verified fixed",IF(P35="Closed","Needs retest",P35))</x:f>
        <x:v>Verified fixed</x:v>
      </x:c>
    </x:row>
    <x:row r="36" ht="92" customHeight="1">
      <x:c r="A36" s="3" t="str">
        <x:v>B030</x:v>
      </x:c>
      <x:c r="B36" s="3" t="str">
        <x:v>P2</x:v>
      </x:c>
      <x:c r="C36" s="3" t="str">
        <x:v>Defect</x:v>
      </x:c>
      <x:c r="D36" s="3" t="str">
        <x:v>Problem access</x:v>
      </x:c>
      <x:c r="E36" s="3" t="str">
        <x:v>Missing problems stay on loading forever</x:v>
      </x:c>
      <x:c r="F36" s="3" t="str">
        <x:v>A problem 404 leaves the page saying Loading problem details.</x:v>
      </x:c>
      <x:c r="G36" s="3" t="str">
        <x:v>Student</x:v>
      </x:c>
      <x:c r="H36" s="3" t="str">
        <x:v>Live browser/API</x:v>
      </x:c>
      <x:c r="I36" s="3" t="str">
        <x:v>Open a well-formed but non-existent problem UUID</x:v>
      </x:c>
      <x:c r="J36" s="3" t="str">
        <x:v>A 404 response yields a clear not-found message and a return action</x:v>
      </x:c>
      <x:c r="K36" s="3" t="str">
        <x:v>After HTTP 404, page text=Loading problem details...</x:v>
      </x:c>
      <x:c r="L36" s="3" t="str">
        <x:v>Add explicit loading, success, missing and failure states with a recovery action.</x:v>
      </x:c>
      <x:c r="M36" s="3" t="str">
        <x:v>Unknown problem shows a clear missing state instead of indefinite loading.</x:v>
      </x:c>
      <x:c r="N36" s="3" t="str">
        <x:v>UI-P03</x:v>
      </x:c>
      <x:c r="O36" s="3" t="str">
        <x:v>client/src/componets/Problem/ProblemShow.jsx</x:v>
      </x:c>
      <x:c r="P36" s="10" t="str">
        <x:v>Closed</x:v>
      </x:c>
      <x:c r="Q36" s="10" t="str">
        <x:v>Codex</x:v>
      </x:c>
      <x:c r="R36" s="10" t="str">
        <x:v>Passed</x:v>
      </x:c>
      <x:c r="S36" s="10" t="str">
        <x:v>14 Oct 2026 — All linked acceptance checks passed: UI-P03. Detailed retest observations are preserved in the Scenarios retest columns and saved test evidence.</x:v>
      </x:c>
      <x:c r="T36" s="3" t="str">
        <x:f>IF(AND(P36="Closed",R36="Passed"),"Verified fixed",IF(P36="Closed","Needs retest",P36))</x:f>
        <x:v>Verified fixed</x:v>
      </x:c>
    </x:row>
    <x:row r="37" ht="92" customHeight="1">
      <x:c r="A37" s="3" t="str">
        <x:v>B031</x:v>
      </x:c>
      <x:c r="B37" s="3" t="str">
        <x:v>P2</x:v>
      </x:c>
      <x:c r="C37" s="3" t="str">
        <x:v>Defect</x:v>
      </x:c>
      <x:c r="D37" s="3" t="str">
        <x:v>Authentication and sessions</x:v>
      </x:c>
      <x:c r="E37" s="3" t="str">
        <x:v>Expired sessions leave users stuck</x:v>
      </x:c>
      <x:c r="F37" s="3" t="str">
        <x:v>401 navigation is not converted to reauthentication; expired-cookie logout does not clear the cookie.</x:v>
      </x:c>
      <x:c r="G37" s="3" t="str">
        <x:v>Faculty</x:v>
      </x:c>
      <x:c r="H37" s="3" t="str">
        <x:v>Isolated API test</x:v>
      </x:c>
      <x:c r="I37" s="3" t="str">
        <x:v>Place an expired test JWT in the token cookie and POST logout</x:v>
      </x:c>
      <x:c r="J37" s="3" t="str">
        <x:v>HTTP 200 and token cookie cleared</x:v>
      </x:c>
      <x:c r="K37" s="3" t="str">
        <x:v>Logout with expired JWT HTTP 401; cookie cleared=False</x:v>
      </x:c>
      <x:c r="L37" s="3" t="str">
        <x:v>Centralize 401 recovery and make logout clear invalid cookies safely.</x:v>
      </x:c>
      <x:c r="M37" s="3" t="str">
        <x:v>Expired sessions return to login; logout clears expired cookies without a dead end.</x:v>
      </x:c>
      <x:c r="N37" s="3" t="str">
        <x:v>API-A06, UI-A05</x:v>
      </x:c>
      <x:c r="O37" s="3" t="str">
        <x:v>apps/users/views.py:LogoutView / authentication.py
client/src/utils/axiosInstance.js</x:v>
      </x:c>
      <x:c r="P37" s="10" t="str">
        <x:v>Closed</x:v>
      </x:c>
      <x:c r="Q37" s="10" t="str">
        <x:v>Codex</x:v>
      </x:c>
      <x:c r="R37" s="10" t="str">
        <x:v>Passed</x:v>
      </x:c>
      <x:c r="S37" s="10" t="str">
        <x:v>14 Oct 2026 — All linked acceptance checks passed: API-A06, UI-A05. Detailed retest observations are preserved in the Scenarios retest columns and saved test evidence.</x:v>
      </x:c>
      <x:c r="T37" s="3" t="str">
        <x:f>IF(AND(P37="Closed",R37="Passed"),"Verified fixed",IF(P37="Closed","Needs retest",P37))</x:f>
        <x:v>Verified fixed</x:v>
      </x:c>
    </x:row>
    <x:row r="38" ht="92" customHeight="1">
      <x:c r="A38" s="3" t="str">
        <x:v>B032</x:v>
      </x:c>
      <x:c r="B38" s="3" t="str">
        <x:v>P2</x:v>
      </x:c>
      <x:c r="C38" s="3" t="str">
        <x:v>Defect</x:v>
      </x:c>
      <x:c r="D38" s="3" t="str">
        <x:v>Role permissions</x:v>
      </x:c>
      <x:c r="E38" s="3" t="str">
        <x:v>Students can render staff-only pages</x:v>
      </x:c>
      <x:c r="F38" s="3" t="str">
        <x:v>Direct links render staff actions despite API 403. Backend role checks passed.</x:v>
      </x:c>
      <x:c r="G38" s="3" t="str">
        <x:v>Student</x:v>
      </x:c>
      <x:c r="H38" s="3" t="str">
        <x:v>Live browser/API</x:v>
      </x:c>
      <x:c r="I38" s="3" t="str">
        <x:v>As a student, directly open /session-management</x:v>
      </x:c>
      <x:c r="J38" s="3" t="str">
        <x:v>Staff-only page is blocked in the UI before showing staff actions</x:v>
      </x:c>
      <x:c r="K38" s="3" t="str">
        <x:v>Backend request HTTP 403; staff Session Management heading still rendered for a student</x:v>
      </x:c>
      <x:c r="L38" s="3" t="str">
        <x:v>Apply role-aware route guards and display a clear access-denied state.</x:v>
      </x:c>
      <x:c r="M38" s="3" t="str">
        <x:v>Student deep links to staff routes show no staff actions; staff navigation still works.</x:v>
      </x:c>
      <x:c r="N38" s="3" t="str">
        <x:v>UI-R01</x:v>
      </x:c>
      <x:c r="O38" s="3" t="str">
        <x:v>client/src/componets/Layout.jsx</x:v>
      </x:c>
      <x:c r="P38" s="10" t="str">
        <x:v>Closed</x:v>
      </x:c>
      <x:c r="Q38" s="10" t="str">
        <x:v>Codex</x:v>
      </x:c>
      <x:c r="R38" s="10" t="str">
        <x:v>Passed</x:v>
      </x:c>
      <x:c r="S38" s="10" t="str">
        <x:v>14 Oct 2026 — All linked acceptance checks passed: UI-R01. Detailed retest observations are preserved in the Scenarios retest columns and saved test evidence.</x:v>
      </x:c>
      <x:c r="T38" s="3" t="str">
        <x:f>IF(AND(P38="Closed",R38="Passed"),"Verified fixed",IF(P38="Closed","Needs retest",P38))</x:f>
        <x:v>Verified fixed</x:v>
      </x:c>
    </x:row>
    <x:row r="39" ht="92" customHeight="1">
      <x:c r="A39" s="3" t="str">
        <x:v>B033</x:v>
      </x:c>
      <x:c r="B39" s="3" t="str">
        <x:v>P2</x:v>
      </x:c>
      <x:c r="C39" s="3" t="str">
        <x:v>Defect</x:v>
      </x:c>
      <x:c r="D39" s="3" t="str">
        <x:v>History and submissions</x:v>
      </x:c>
      <x:c r="E39" s="3" t="str">
        <x:v>Missing submission status becomes a random result</x:v>
      </x:c>
      <x:c r="F39" s="3" t="str">
        <x:v>A controlled null API status is replaced with a fabricated status.</x:v>
      </x:c>
      <x:c r="G39" s="3" t="str">
        <x:v>Student</x:v>
      </x:c>
      <x:c r="H39" s="3" t="str">
        <x:v>Browser with injected missing status</x:v>
      </x:c>
      <x:c r="I39" s="3" t="str">
        <x:v>Inject a controlled null status in a real submission response, then open profile history</x:v>
      </x:c>
      <x:c r="J39" s="3" t="str">
        <x:v>Missing status displays Unknown or a clear unavailable state</x:v>
      </x:c>
      <x:c r="K39" s="3" t="str">
        <x:v>Missing API status rendered as rejected</x:v>
      </x:c>
      <x:c r="L39" s="3" t="str">
        <x:v>Remove random fallback; use Unknown/unavailable and safe display mapping.</x:v>
      </x:c>
      <x:c r="M39" s="3" t="str">
        <x:v>Missing/unknown status never shows an invented accepted/rejected result.</x:v>
      </x:c>
      <x:c r="N39" s="3" t="str">
        <x:v>UI-S02</x:v>
      </x:c>
      <x:c r="O39" s="3" t="str">
        <x:v>client/src/componets/SubmissionPage.jsx:getRandomStatus</x:v>
      </x:c>
      <x:c r="P39" s="10" t="str">
        <x:v>Closed</x:v>
      </x:c>
      <x:c r="Q39" s="10" t="str">
        <x:v>Codex</x:v>
      </x:c>
      <x:c r="R39" s="10" t="str">
        <x:v>Passed</x:v>
      </x:c>
      <x:c r="S39" s="10" t="str">
        <x:v>14 Oct 2026 — All linked acceptance checks passed: UI-S02. Detailed retest observations are preserved in the Scenarios retest columns and saved test evidence.</x:v>
      </x:c>
      <x:c r="T39" s="3" t="str">
        <x:f>IF(AND(P39="Closed",R39="Passed"),"Verified fixed",IF(P39="Closed","Needs retest",P39))</x:f>
        <x:v>Verified fixed</x:v>
      </x:c>
    </x:row>
    <x:row r="40" ht="92" customHeight="1">
      <x:c r="A40" s="3" t="str">
        <x:v>B034</x:v>
      </x:c>
      <x:c r="B40" s="3" t="str">
        <x:v>P2</x:v>
      </x:c>
      <x:c r="C40" s="3" t="str">
        <x:v>Defect</x:v>
      </x:c>
      <x:c r="D40" s="3" t="str">
        <x:v>Student management</x:v>
      </x:c>
      <x:c r="E40" s="3" t="str">
        <x:v>Failed bulk-registration rows are discarded</x:v>
      </x:c>
      <x:c r="F40" s="3" t="str">
        <x:v>A per-row duplicate error removes the row instead of retaining it for correction.</x:v>
      </x:c>
      <x:c r="G40" s="3" t="str">
        <x:v>Faculty</x:v>
      </x:c>
      <x:c r="H40" s="3" t="str">
        <x:v>Live browser/API</x:v>
      </x:c>
      <x:c r="I40" s="3" t="str">
        <x:v>Add the existing QA student to the import list; select it and register; inspect the failed row</x:v>
      </x:c>
      <x:c r="J40" s="3" t="str">
        <x:v>Duplicate row stays in the list with its validation error</x:v>
      </x:c>
      <x:c r="K40" s="3" t="str">
        <x:v>Server error count=1; remaining rows=0</x:v>
      </x:c>
      <x:c r="L40" s="3" t="str">
        <x:v>Remove only successful rows and retain failed rows with their error messages.</x:v>
      </x:c>
      <x:c r="M40" s="3" t="str">
        <x:v>Mixed success retains every failed row and allows correction/retry.</x:v>
      </x:c>
      <x:c r="N40" s="3" t="str">
        <x:v>UI-F02</x:v>
      </x:c>
      <x:c r="O40" s="3" t="str">
        <x:v>client/src/componets/Faculty/StudentRegister.jsx:handleRegisterSelected</x:v>
      </x:c>
      <x:c r="P40" s="10" t="str">
        <x:v>Closed</x:v>
      </x:c>
      <x:c r="Q40" s="10" t="str">
        <x:v>Codex</x:v>
      </x:c>
      <x:c r="R40" s="10" t="str">
        <x:v>Passed</x:v>
      </x:c>
      <x:c r="S40" s="10" t="str">
        <x:v>14 Oct 2026 — All linked acceptance checks passed: UI-F02. Detailed retest observations are preserved in the Scenarios retest columns and saved test evidence.</x:v>
      </x:c>
      <x:c r="T40" s="3" t="str">
        <x:f>IF(AND(P40="Closed",R40="Passed"),"Verified fixed",IF(P40="Closed","Needs retest",P40))</x:f>
        <x:v>Verified fixed</x:v>
      </x:c>
    </x:row>
    <x:row r="41" ht="92" customHeight="1">
      <x:c r="A41" s="3" t="str">
        <x:v>B035</x:v>
      </x:c>
      <x:c r="B41" s="3" t="str">
        <x:v>P2</x:v>
      </x:c>
      <x:c r="C41" s="3" t="str">
        <x:v>Feature gap</x:v>
      </x:c>
      <x:c r="D41" s="3" t="str">
        <x:v>Problem access</x:v>
      </x:c>
      <x:c r="E41" s="3" t="str">
        <x:v>Solution tab contains generic placeholder</x:v>
      </x:c>
      <x:c r="F41" s="3" t="str">
        <x:v>The solution tab offers no usable editorial or explicit unavailable state.</x:v>
      </x:c>
      <x:c r="G41" s="3" t="str">
        <x:v>Student</x:v>
      </x:c>
      <x:c r="H41" s="3" t="str">
        <x:v>Live browser/API</x:v>
      </x:c>
      <x:c r="I41" s="3" t="str">
        <x:v>Open any problem → Solution</x:v>
      </x:c>
      <x:c r="J41" s="3" t="str">
        <x:v>Solution is available or the tab clearly explains its availability policy</x:v>
      </x:c>
      <x:c r="K41" s="3" t="str">
        <x:v>Solution tab displays generic placeholder text; no editorial publishing data model exists</x:v>
      </x:c>
      <x:c r="L41" s="3" t="str">
        <x:v>Define editorial authoring/access rules; implement content or a truthful unavailable state.</x:v>
      </x:c>
      <x:c r="M41" s="3" t="str">
        <x:v>Published solutions render correctly; unpublished solutions show unavailable.</x:v>
      </x:c>
      <x:c r="N41" s="3" t="str">
        <x:v>UI-GAP01</x:v>
      </x:c>
      <x:c r="O41" s="3" t="str">
        <x:v>client/src/componets/Problem/Solution.jsx</x:v>
      </x:c>
      <x:c r="P41" s="10" t="str">
        <x:v>Closed</x:v>
      </x:c>
      <x:c r="Q41" s="10" t="str">
        <x:v>Codex</x:v>
      </x:c>
      <x:c r="R41" s="10" t="str">
        <x:v>Passed</x:v>
      </x:c>
      <x:c r="S41" s="10" t="str">
        <x:v>14 Oct 2026 — All linked acceptance checks passed: UI-GAP01. Detailed retest observations are preserved in the Scenarios retest columns and saved test evidence.</x:v>
      </x:c>
      <x:c r="T41" s="3" t="str">
        <x:f>IF(AND(P41="Closed",R41="Passed"),"Verified fixed",IF(P41="Closed","Needs retest",P41))</x:f>
        <x:v>Verified fixed</x:v>
      </x:c>
    </x:row>
    <x:row r="42" ht="92" customHeight="1">
      <x:c r="A42" s="3" t="str">
        <x:v>B036</x:v>
      </x:c>
      <x:c r="B42" s="3" t="str">
        <x:v>P3</x:v>
      </x:c>
      <x:c r="C42" s="3" t="str">
        <x:v>Defect</x:v>
      </x:c>
      <x:c r="D42" s="3" t="str">
        <x:v>Profile</x:v>
      </x:c>
      <x:c r="E42" s="3" t="str">
        <x:v>PNG avatars are served as JPEG</x:v>
      </x:c>
      <x:c r="F42" s="3" t="str">
        <x:v>The response Content-Type does not match PNG data.</x:v>
      </x:c>
      <x:c r="G42" s="3" t="str">
        <x:v>Faculty</x:v>
      </x:c>
      <x:c r="H42" s="3" t="str">
        <x:v>Isolated API test</x:v>
      </x:c>
      <x:c r="I42" s="3" t="str">
        <x:v>Upload a valid PNG then GET /api/v1/user/profile/upload-avatar</x:v>
      </x:c>
      <x:c r="J42" s="3" t="str">
        <x:v>HTTP 200; Content-Type image/png</x:v>
      </x:c>
      <x:c r="K42" s="3" t="str">
        <x:v>Upload HTTP 200; download Content-Type image/jpeg</x:v>
      </x:c>
      <x:c r="L42" s="3" t="str">
        <x:v>Serve the validated stored image MIME type.</x:v>
      </x:c>
      <x:c r="M42" s="3" t="str">
        <x:v>PNG download returns image/png; other supported formats match their bytes.</x:v>
      </x:c>
      <x:c r="N42" s="3" t="str">
        <x:v>API-PR03</x:v>
      </x:c>
      <x:c r="O42" s="3" t="str">
        <x:v>apps/users/views.py:GetAvatarView</x:v>
      </x:c>
      <x:c r="P42" s="10" t="str">
        <x:v>Closed</x:v>
      </x:c>
      <x:c r="Q42" s="10" t="str">
        <x:v>Codex</x:v>
      </x:c>
      <x:c r="R42" s="10" t="str">
        <x:v>Passed</x:v>
      </x:c>
      <x:c r="S42" s="10" t="str">
        <x:v>14 Oct 2026 — All linked acceptance checks passed: API-PR03. Detailed retest observations are preserved in the Scenarios retest columns and saved test evidence.</x:v>
      </x:c>
      <x:c r="T42" s="3" t="str">
        <x:f>IF(AND(P42="Closed",R42="Passed"),"Verified fixed",IF(P42="Closed","Needs retest",P42))</x:f>
        <x:v>Verified fixed</x:v>
      </x:c>
    </x:row>
    <x:row r="43" ht="92" customHeight="1">
      <x:c r="A43" s="3" t="str">
        <x:v>B037</x:v>
      </x:c>
      <x:c r="B43" s="3" t="str">
        <x:v>P3</x:v>
      </x:c>
      <x:c r="C43" s="3" t="str">
        <x:v>Defect</x:v>
      </x:c>
      <x:c r="D43" s="3" t="str">
        <x:v>Code editor</x:v>
      </x:c>
      <x:c r="E43" s="3" t="str">
        <x:v>Draft button says Save Codez</x:v>
      </x:c>
      <x:c r="F43" s="3" t="str">
        <x:v>An accidental label is visible in the editor.</x:v>
      </x:c>
      <x:c r="G43" s="3" t="str">
        <x:v>Student</x:v>
      </x:c>
      <x:c r="H43" s="3" t="str">
        <x:v>Live browser/API</x:v>
      </x:c>
      <x:c r="I43" s="3" t="str">
        <x:v>Open any problem and inspect the draft save button</x:v>
      </x:c>
      <x:c r="J43" s="3" t="str">
        <x:v>Save Code</x:v>
      </x:c>
      <x:c r="K43" s="3" t="str">
        <x:v>Actual button text: Save Codez</x:v>
      </x:c>
      <x:c r="L43" s="3" t="str">
        <x:v>Change the label to Save Code and check adjacent copy.</x:v>
      </x:c>
      <x:c r="M43" s="3" t="str">
        <x:v>The draft-save action consistently displays Save Code.</x:v>
      </x:c>
      <x:c r="N43" s="3" t="str">
        <x:v>UI-E04</x:v>
      </x:c>
      <x:c r="O43" s="3" t="str">
        <x:v>client/src/componets/CodeEditor/TestCaseResults.jsx</x:v>
      </x:c>
      <x:c r="P43" s="10" t="str">
        <x:v>Closed</x:v>
      </x:c>
      <x:c r="Q43" s="10" t="str">
        <x:v>Codex</x:v>
      </x:c>
      <x:c r="R43" s="10" t="str">
        <x:v>Passed</x:v>
      </x:c>
      <x:c r="S43" s="10" t="str">
        <x:v>14 Oct 2026 — All linked acceptance checks passed: UI-E04. Detailed retest observations are preserved in the Scenarios retest columns and saved test evidence.</x:v>
      </x:c>
      <x:c r="T43" s="3" t="str">
        <x:f>IF(AND(P43="Closed",R43="Passed"),"Verified fixed",IF(P43="Closed","Needs retest",P43))</x:f>
        <x:v>Verified fixed</x:v>
      </x:c>
    </x:row>
    <x:row r="44" ht="92" customHeight="1">
      <x:c r="A44" s="3" t="str">
        <x:v>B038</x:v>
      </x:c>
      <x:c r="B44" s="3" t="str">
        <x:v>P3</x:v>
      </x:c>
      <x:c r="C44" s="3" t="str">
        <x:v>Code quality</x:v>
      </x:c>
      <x:c r="D44" s="3" t="str">
        <x:v>Code quality</x:v>
      </x:c>
      <x:c r="E44" s="3" t="str">
        <x:v>Full client lint check fails</x:v>
      </x:c>
      <x:c r="F44" s="3" t="str">
        <x:v>240 errors and 11 warnings across 52 files; these are not 251 confirmed runtime bugs.</x:v>
      </x:c>
      <x:c r="G44" s="3" t="str">
        <x:v>Developer</x:v>
      </x:c>
      <x:c r="H44" s="3" t="str">
        <x:v>Static lint</x:v>
      </x:c>
      <x:c r="I44" s="3" t="str">
        <x:v>Run ESLint over the client and preserve its JSON output
Inputs: 77 client files</x:v>
      </x:c>
      <x:c r="J44" s="3" t="str">
        <x:v>No unresolved lint errors</x:v>
      </x:c>
      <x:c r="K44" s="3" t="str">
        <x:v>240 errors and 11 warnings in 52 of 77 files. Includes unused legacy components and configuration issues; not all are runtime defects.</x:v>
      </x:c>
      <x:c r="L44" s="3" t="str">
        <x:v>Triage unused code, prop validation and lint configuration; restore a meaningful clean quality check.</x:v>
      </x:c>
      <x:c r="M44" s="3" t="str">
        <x:v>Full lint succeeds or documented exclusions cover unused legacy files without hiding active defects.</x:v>
      </x:c>
      <x:c r="N44" s="3" t="str">
        <x:v>ENG-01</x:v>
      </x:c>
      <x:c r="O44" s="3" t="str">
        <x:v>evidence/eslint.json</x:v>
      </x:c>
      <x:c r="P44" s="10" t="str">
        <x:v>Closed</x:v>
      </x:c>
      <x:c r="Q44" s="10" t="str">
        <x:v>Codex</x:v>
      </x:c>
      <x:c r="R44" s="10" t="str">
        <x:v>Passed</x:v>
      </x:c>
      <x:c r="S44" s="10" t="str">
        <x:v>14 Oct 2026 — All linked acceptance checks passed: ENG-01. Detailed retest observations are preserved in the Scenarios retest columns and saved test evidence.</x:v>
      </x:c>
      <x:c r="T44" s="3" t="str">
        <x:f>IF(AND(P44="Closed",R44="Passed"),"Verified fixed",IF(P44="Closed","Needs retest",P44))</x:f>
        <x:v>Verified fixed</x:v>
      </x:c>
    </x:row>
  </x:sheetData>
  <x:conditionalFormatting sqref="B7:B44">
    <x:cfRule type="expression" dxfId="0" priority="1">
      <x:formula>$B7="P1"</x:formula>
    </x:cfRule>
  </x:conditionalFormatting>
  <x:conditionalFormatting sqref="T7:T44">
    <x:cfRule type="expression" dxfId="1" priority="2">
      <x:formula>$T7="Needs retest"</x:formula>
    </x:cfRule>
  </x:conditionalFormatting>
  <x:dataValidations count="2">
    <x:dataValidation type="list" sqref="P7:P44">
      <x:formula1>"Open,In progress,Ready for retest,Closed,Deferred"</x:formula1>
    </x:dataValidation>
    <x:dataValidation type="list" sqref="R7:R44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32fa414ca343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5" hidden="0" customWidth="1"/>
    <x:col min="4" max="4" width="52" hidden="0" customWidth="1"/>
    <x:col min="5" max="5" width="23" hidden="0" customWidth="1"/>
    <x:col min="6" max="6" width="36" hidden="0" customWidth="1"/>
    <x:col min="7" max="7" width="64" hidden="0" customWidth="1"/>
    <x:col min="8" max="8" width="52" hidden="0" customWidth="1"/>
    <x:col min="9" max="9" width="64" hidden="0" customWidth="1"/>
    <x:col min="10" max="10" width="76" hidden="0" customWidth="1"/>
    <x:col min="11" max="11" width="11" hidden="0" customWidth="1"/>
    <x:col min="12" max="12" width="58" hidden="0" customWidth="1"/>
    <x:col min="13" max="13" width="56" hidden="0" customWidth="1"/>
    <x:col min="14" max="14" width="19" hidden="0" customWidth="1"/>
    <x:col min="15" max="15" width="22" hidden="0" customWidth="1"/>
    <x:col min="16" max="16" width="50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6" customHeight="1">
      <x:c r="A2" s="13" t="str">
        <x:v>Scenario register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</x:row>
    <x:row r="4" ht="24" customHeight="1">
      <x:c r="A4" s="11" t="str">
        <x:v>Result is the original audit result. Amber columns N:P are editable follow-up retests. Not run means planned coverage, not a pass.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 ht="32" customHeight="1">
      <x:c r="A6" s="9" t="str">
        <x:v>Scenario ID</x:v>
      </x:c>
      <x:c r="B6" s="9" t="str">
        <x:v>Audit result</x:v>
      </x:c>
      <x:c r="C6" s="9" t="str">
        <x:v>Area</x:v>
      </x:c>
      <x:c r="D6" s="9" t="str">
        <x:v>Scenario</x:v>
      </x:c>
      <x:c r="E6" s="9" t="str">
        <x:v>Role</x:v>
      </x:c>
      <x:c r="F6" s="9" t="str">
        <x:v>Method / scope</x:v>
      </x:c>
      <x:c r="G6" s="9" t="str">
        <x:v>Steps</x:v>
      </x:c>
      <x:c r="H6" s="9" t="str">
        <x:v>Inputs / preconditions</x:v>
      </x:c>
      <x:c r="I6" s="9" t="str">
        <x:v>Expected</x:v>
      </x:c>
      <x:c r="J6" s="9" t="str">
        <x:v>Observed</x:v>
      </x:c>
      <x:c r="K6" s="9" t="str">
        <x:v>Bug ID</x:v>
      </x:c>
      <x:c r="L6" s="9" t="str">
        <x:v>Code / source</x:v>
      </x:c>
      <x:c r="M6" s="9" t="str">
        <x:v>Evidence</x:v>
      </x:c>
      <x:c r="N6" s="9" t="str">
        <x:v>Retest result</x:v>
      </x:c>
      <x:c r="O6" s="9" t="str">
        <x:v>Retest owner</x:v>
      </x:c>
      <x:c r="P6" s="9" t="str">
        <x:v>Retest notes / date</x:v>
      </x:c>
    </x:row>
    <x:row r="7" ht="67" customHeight="1">
      <x:c r="A7" s="3" t="str">
        <x:v>API-P01</x:v>
      </x:c>
      <x:c r="B7" s="3" t="str">
        <x:v>Passed</x:v>
      </x:c>
      <x:c r="C7" s="3" t="str">
        <x:v>Problem authoring</x:v>
      </x:c>
      <x:c r="D7" s="3" t="str">
        <x:v>Missing title</x:v>
      </x:c>
      <x:c r="E7" s="3" t="str">
        <x:v>Faculty</x:v>
      </x:c>
      <x:c r="F7" s="3" t="str">
        <x:v>Isolated API test</x:v>
      </x:c>
      <x:c r="G7" s="3" t="str">
        <x:v>POST /api/v1/problems/ as the problem owner</x:v>
      </x:c>
      <x:c r="H7" s="3" t="str">
        <x:v>{"title": ""}</x:v>
      </x:c>
      <x:c r="I7" s="3" t="str">
        <x:v>HTTP 400; invalid input does not create a problem</x:v>
      </x:c>
      <x:c r="J7" s="3" t="str">
        <x:v>HTTP 400: {"message": "Title and description are required."}</x:v>
      </x:c>
      <x:c r="K7" s="3" t="str"/>
      <x:c r="L7" s="3" t="str">
        <x:v>apps/problems/views.py:ProblemListCreateView</x:v>
      </x:c>
      <x:c r="M7" s="3" t="str">
        <x:v>evidence/api-boundaries.json + api-boundaries.xml</x:v>
      </x:c>
      <x:c r="N7" s="10" t="str">
        <x:v>Passed</x:v>
      </x:c>
      <x:c r="O7" s="10" t="str">
        <x:v>Codex</x:v>
      </x:c>
      <x:c r="P7" s="10" t="str">
        <x:v>14 Oct 2026 — HTTP 400: {"success": false, "message": "[ErrorDetail(string='This field may not be blank.', code='blank')]"}</x:v>
      </x:c>
    </x:row>
    <x:row r="8" ht="131" customHeight="1">
      <x:c r="A8" s="3" t="str">
        <x:v>API-P02</x:v>
      </x:c>
      <x:c r="B8" s="3" t="str">
        <x:v>Failed</x:v>
      </x:c>
      <x:c r="C8" s="3" t="str">
        <x:v>Problem authoring</x:v>
      </x:c>
      <x:c r="D8" s="3" t="str">
        <x:v>Whitespace-only title</x:v>
      </x:c>
      <x:c r="E8" s="3" t="str">
        <x:v>Faculty</x:v>
      </x:c>
      <x:c r="F8" s="3" t="str">
        <x:v>Isolated API test</x:v>
      </x:c>
      <x:c r="G8" s="3" t="str">
        <x:v>POST /api/v1/problems/ as the problem owner</x:v>
      </x:c>
      <x:c r="H8" s="3" t="str">
        <x:v>{"title": "   "}</x:v>
      </x:c>
      <x:c r="I8" s="3" t="str">
        <x:v>HTTP 400; invalid input does not create a problem</x:v>
      </x:c>
      <x:c r="J8" s="3" t="str">
        <x:v>HTTP 201: {"_id": "5cfa170f-b6a8-4fff-a79d-24006583f643", "title": "   ", "description": "Add integers", "difficulty": "easy", "inputFormat": "Integers", "outputFormat": "Sum", "sampleIO": [{"input": "2 3", "output": "5", "order": 0}], "testCases": [{"id": "c3ff7101-acdb-4b78-aaf4-16bd3a5c2f7c", "inputs": "2 3", "outputs": "5", "marks": 10, "cpu_time_limit": 1.0, "memory_limit": 128, "is_hidden": false, "order": 0}], "constraints": "", "tags": [], "totalMarks": 10, "createdBy": "8ff6831c-6ed6-4af9-88b4-23ce85575147"}</x:v>
      </x:c>
      <x:c r="K8" s="3" t="str">
        <x:v>B009</x:v>
      </x:c>
      <x:c r="L8" s="3" t="str">
        <x:v>apps/problems/views.py:ProblemListCreateView</x:v>
      </x:c>
      <x:c r="M8" s="3" t="str">
        <x:v>evidence/api-boundaries.json + api-boundaries.xml</x:v>
      </x:c>
      <x:c r="N8" s="10" t="str">
        <x:v>Passed</x:v>
      </x:c>
      <x:c r="O8" s="10" t="str">
        <x:v>Codex</x:v>
      </x:c>
      <x:c r="P8" s="10" t="str">
        <x:v>14 Oct 2026 — HTTP 400: {"success": false, "message": "[ErrorDetail(string='This field may not be blank.', code='blank')]"}</x:v>
      </x:c>
    </x:row>
    <x:row r="9" ht="131" customHeight="1">
      <x:c r="A9" s="3" t="str">
        <x:v>API-P03</x:v>
      </x:c>
      <x:c r="B9" s="3" t="str">
        <x:v>Failed</x:v>
      </x:c>
      <x:c r="C9" s="3" t="str">
        <x:v>Problem authoring</x:v>
      </x:c>
      <x:c r="D9" s="3" t="str">
        <x:v>Unknown difficulty</x:v>
      </x:c>
      <x:c r="E9" s="3" t="str">
        <x:v>Faculty</x:v>
      </x:c>
      <x:c r="F9" s="3" t="str">
        <x:v>Isolated API test</x:v>
      </x:c>
      <x:c r="G9" s="3" t="str">
        <x:v>POST /api/v1/problems/ as the problem owner</x:v>
      </x:c>
      <x:c r="H9" s="3" t="str">
        <x:v>{"difficulty": "impossible"}</x:v>
      </x:c>
      <x:c r="I9" s="3" t="str">
        <x:v>HTTP 400; invalid input does not create a problem</x:v>
      </x:c>
      <x:c r="J9" s="3" t="str">
        <x:v>HTTP 201: {"_id": "8e07c6b0-da01-4a8e-99d5-7f435c48a49b", "title": "QA new problem", "description": "Add integers", "difficulty": "impossible", "inputFormat": "Integers", "outputFormat": "Sum", "sampleIO": [{"input": "2 3", "output": "5", "order": 0}], "testCases": [{"id": "f12f9d01-e258-4e90-ad31-19a7ee8774a7", "inputs": "2 3", "outputs": "5", "marks": 10, "cpu_time_limit": 1.0, "memory_limit": 128, "is_hidden": false, "order": 0}], "constraints": "", "tags": [], "totalMarks": 10, "createdBy": "2deed40b-31c1-4d3e-98ea-766c6120677c"}</x:v>
      </x:c>
      <x:c r="K9" s="3" t="str">
        <x:v>B009</x:v>
      </x:c>
      <x:c r="L9" s="3" t="str">
        <x:v>apps/problems/views.py:ProblemListCreateView</x:v>
      </x:c>
      <x:c r="M9" s="3" t="str">
        <x:v>evidence/api-boundaries.json + api-boundaries.xml</x:v>
      </x:c>
      <x:c r="N9" s="10" t="str">
        <x:v>Passed</x:v>
      </x:c>
      <x:c r="O9" s="10" t="str">
        <x:v>Codex</x:v>
      </x:c>
      <x:c r="P9" s="10" t="str">
        <x:v>14 Oct 2026 — HTTP 400: {"success": false, "message": "[ErrorDetail(string='\"impossible\" is not a valid choice.', code='invalid_choice')]"}</x:v>
      </x:c>
    </x:row>
    <x:row r="10" ht="93" customHeight="1">
      <x:c r="A10" s="3" t="str">
        <x:v>API-P04</x:v>
      </x:c>
      <x:c r="B10" s="3" t="str">
        <x:v>Passed</x:v>
      </x:c>
      <x:c r="C10" s="3" t="str">
        <x:v>Problem authoring</x:v>
      </x:c>
      <x:c r="D10" s="3" t="str">
        <x:v>Non-list test cases</x:v>
      </x:c>
      <x:c r="E10" s="3" t="str">
        <x:v>Faculty</x:v>
      </x:c>
      <x:c r="F10" s="3" t="str">
        <x:v>Isolated API test</x:v>
      </x:c>
      <x:c r="G10" s="3" t="str">
        <x:v>POST /api/v1/problems/ as the problem owner</x:v>
      </x:c>
      <x:c r="H10" s="3" t="str">
        <x:v>{"testCases": {}}</x:v>
      </x:c>
      <x:c r="I10" s="3" t="str">
        <x:v>HTTP 400; invalid input does not create a problem</x:v>
      </x:c>
      <x:c r="J10" s="3" t="str">
        <x:v>HTTP 400: {"message": "Invalid testCases format"}</x:v>
      </x:c>
      <x:c r="K10" s="3" t="str"/>
      <x:c r="L10" s="3" t="str">
        <x:v>apps/problems/views.py:ProblemListCreateView</x:v>
      </x:c>
      <x:c r="M10" s="3" t="str">
        <x:v>evidence/api-boundaries.json + api-boundaries.xml</x:v>
      </x:c>
      <x:c r="N10" s="10" t="str">
        <x:v>Passed</x:v>
      </x:c>
      <x:c r="O10" s="10" t="str">
        <x:v>Codex</x:v>
      </x:c>
      <x:c r="P10" s="10" t="str">
        <x:v>14 Oct 2026 — HTTP 400: {"success": false, "message": "{'non_field_errors': [ErrorDetail(string='Expected a list of items but got type \"dict\".', code='not_a_list')]}"}</x:v>
      </x:c>
    </x:row>
    <x:row r="11" ht="67" customHeight="1">
      <x:c r="A11" s="3" t="str">
        <x:v>API-P05</x:v>
      </x:c>
      <x:c r="B11" s="3" t="str">
        <x:v>Failed</x:v>
      </x:c>
      <x:c r="C11" s="3" t="str">
        <x:v>Problem authoring</x:v>
      </x:c>
      <x:c r="D11" s="3" t="str">
        <x:v>Test case is null</x:v>
      </x:c>
      <x:c r="E11" s="3" t="str">
        <x:v>Faculty</x:v>
      </x:c>
      <x:c r="F11" s="3" t="str">
        <x:v>Isolated API test</x:v>
      </x:c>
      <x:c r="G11" s="3" t="str">
        <x:v>POST /api/v1/problems/ as the problem owner</x:v>
      </x:c>
      <x:c r="H11" s="3" t="str">
        <x:v>{"testCases": [null]}</x:v>
      </x:c>
      <x:c r="I11" s="3" t="str">
        <x:v>HTTP 400; invalid input does not create a problem</x:v>
      </x:c>
      <x:c r="J11" s="3" t="str">
        <x:v>HTTP 500: "Server error"</x:v>
      </x:c>
      <x:c r="K11" s="3" t="str">
        <x:v>B010</x:v>
      </x:c>
      <x:c r="L11" s="3" t="str">
        <x:v>apps/problems/views.py:ProblemListCreateView</x:v>
      </x:c>
      <x:c r="M11" s="3" t="str">
        <x:v>evidence/api-boundaries.json + api-boundaries.xml</x:v>
      </x:c>
      <x:c r="N11" s="10" t="str">
        <x:v>Passed</x:v>
      </x:c>
      <x:c r="O11" s="10" t="str">
        <x:v>Codex</x:v>
      </x:c>
      <x:c r="P11" s="10" t="str">
        <x:v>14 Oct 2026 — HTTP 400: {"success": false, "message": "[[ErrorDetail(string='This field may not be null.', code='null')]]"}</x:v>
      </x:c>
    </x:row>
    <x:row r="12" ht="93" customHeight="1">
      <x:c r="A12" s="3" t="str">
        <x:v>API-P06</x:v>
      </x:c>
      <x:c r="B12" s="3" t="str">
        <x:v>Failed</x:v>
      </x:c>
      <x:c r="C12" s="3" t="str">
        <x:v>Problem authoring</x:v>
      </x:c>
      <x:c r="D12" s="3" t="str">
        <x:v>Test case is a string</x:v>
      </x:c>
      <x:c r="E12" s="3" t="str">
        <x:v>Faculty</x:v>
      </x:c>
      <x:c r="F12" s="3" t="str">
        <x:v>Isolated API test</x:v>
      </x:c>
      <x:c r="G12" s="3" t="str">
        <x:v>POST /api/v1/problems/ as the problem owner</x:v>
      </x:c>
      <x:c r="H12" s="3" t="str">
        <x:v>{"testCases": ["bad"]}</x:v>
      </x:c>
      <x:c r="I12" s="3" t="str">
        <x:v>HTTP 400; invalid input does not create a problem</x:v>
      </x:c>
      <x:c r="J12" s="3" t="str">
        <x:v>HTTP 500: "Server error"</x:v>
      </x:c>
      <x:c r="K12" s="3" t="str">
        <x:v>B010</x:v>
      </x:c>
      <x:c r="L12" s="3" t="str">
        <x:v>apps/problems/views.py:ProblemListCreateView</x:v>
      </x:c>
      <x:c r="M12" s="3" t="str">
        <x:v>evidence/api-boundaries.json + api-boundaries.xml</x:v>
      </x:c>
      <x:c r="N12" s="10" t="str">
        <x:v>Passed</x:v>
      </x:c>
      <x:c r="O12" s="10" t="str">
        <x:v>Codex</x:v>
      </x:c>
      <x:c r="P12" s="10" t="str">
        <x:v>14 Oct 2026 — HTTP 400: {"success": false, "message": "[{'non_field_errors': [ErrorDetail(string='Invalid data. Expected a dictionary, but got str.', code='invalid')]}]"}</x:v>
      </x:c>
    </x:row>
    <x:row r="13" ht="67" customHeight="1">
      <x:c r="A13" s="3" t="str">
        <x:v>API-P07</x:v>
      </x:c>
      <x:c r="B13" s="3" t="str">
        <x:v>Failed</x:v>
      </x:c>
      <x:c r="C13" s="3" t="str">
        <x:v>Problem authoring</x:v>
      </x:c>
      <x:c r="D13" s="3" t="str">
        <x:v>Sample item is null</x:v>
      </x:c>
      <x:c r="E13" s="3" t="str">
        <x:v>Faculty</x:v>
      </x:c>
      <x:c r="F13" s="3" t="str">
        <x:v>Isolated API test</x:v>
      </x:c>
      <x:c r="G13" s="3" t="str">
        <x:v>POST /api/v1/problems/ as the problem owner</x:v>
      </x:c>
      <x:c r="H13" s="3" t="str">
        <x:v>{"sampleIO": [null]}</x:v>
      </x:c>
      <x:c r="I13" s="3" t="str">
        <x:v>HTTP 400; invalid input does not create a problem</x:v>
      </x:c>
      <x:c r="J13" s="3" t="str">
        <x:v>HTTP 500: "Server error"</x:v>
      </x:c>
      <x:c r="K13" s="3" t="str">
        <x:v>B010</x:v>
      </x:c>
      <x:c r="L13" s="3" t="str">
        <x:v>apps/problems/views.py:ProblemListCreateView</x:v>
      </x:c>
      <x:c r="M13" s="3" t="str">
        <x:v>evidence/api-boundaries.json + api-boundaries.xml</x:v>
      </x:c>
      <x:c r="N13" s="10" t="str">
        <x:v>Passed</x:v>
      </x:c>
      <x:c r="O13" s="10" t="str">
        <x:v>Codex</x:v>
      </x:c>
      <x:c r="P13" s="10" t="str">
        <x:v>14 Oct 2026 — HTTP 400: {"success": false, "message": "[[ErrorDetail(string='This field may not be null.', code='null')]]"}</x:v>
      </x:c>
    </x:row>
    <x:row r="14" ht="93" customHeight="1">
      <x:c r="A14" s="3" t="str">
        <x:v>API-P08</x:v>
      </x:c>
      <x:c r="B14" s="3" t="str">
        <x:v>Failed</x:v>
      </x:c>
      <x:c r="C14" s="3" t="str">
        <x:v>Problem authoring</x:v>
      </x:c>
      <x:c r="D14" s="3" t="str">
        <x:v>Sample IO is an object</x:v>
      </x:c>
      <x:c r="E14" s="3" t="str">
        <x:v>Faculty</x:v>
      </x:c>
      <x:c r="F14" s="3" t="str">
        <x:v>Isolated API test</x:v>
      </x:c>
      <x:c r="G14" s="3" t="str">
        <x:v>POST /api/v1/problems/ as the problem owner</x:v>
      </x:c>
      <x:c r="H14" s="3" t="str">
        <x:v>{"sampleIO": {"input": "x"}}</x:v>
      </x:c>
      <x:c r="I14" s="3" t="str">
        <x:v>HTTP 400; invalid input does not create a problem</x:v>
      </x:c>
      <x:c r="J14" s="3" t="str">
        <x:v>HTTP 500: "Server error"</x:v>
      </x:c>
      <x:c r="K14" s="3" t="str">
        <x:v>B010</x:v>
      </x:c>
      <x:c r="L14" s="3" t="str">
        <x:v>apps/problems/views.py:ProblemListCreateView</x:v>
      </x:c>
      <x:c r="M14" s="3" t="str">
        <x:v>evidence/api-boundaries.json + api-boundaries.xml</x:v>
      </x:c>
      <x:c r="N14" s="10" t="str">
        <x:v>Passed</x:v>
      </x:c>
      <x:c r="O14" s="10" t="str">
        <x:v>Codex</x:v>
      </x:c>
      <x:c r="P14" s="10" t="str">
        <x:v>14 Oct 2026 — HTTP 400: {"success": false, "message": "{'non_field_errors': [ErrorDetail(string='Expected a list of items but got type \"dict\".', code='not_a_list')]}"}</x:v>
      </x:c>
    </x:row>
    <x:row r="15" ht="80" customHeight="1">
      <x:c r="A15" s="3" t="str">
        <x:v>API-P09</x:v>
      </x:c>
      <x:c r="B15" s="3" t="str">
        <x:v>Failed</x:v>
      </x:c>
      <x:c r="C15" s="3" t="str">
        <x:v>Problem authoring</x:v>
      </x:c>
      <x:c r="D15" s="3" t="str">
        <x:v>Negative marks</x:v>
      </x:c>
      <x:c r="E15" s="3" t="str">
        <x:v>Faculty</x:v>
      </x:c>
      <x:c r="F15" s="3" t="str">
        <x:v>Isolated API test</x:v>
      </x:c>
      <x:c r="G15" s="3" t="str">
        <x:v>POST /api/v1/problems/ as the problem owner</x:v>
      </x:c>
      <x:c r="H15" s="3" t="str">
        <x:v>{"testCases": [{"marks": -1}]}</x:v>
      </x:c>
      <x:c r="I15" s="3" t="str">
        <x:v>HTTP 400; invalid input does not create a problem</x:v>
      </x:c>
      <x:c r="J15" s="3" t="str">
        <x:v>HTTP 500: "Server error"</x:v>
      </x:c>
      <x:c r="K15" s="3" t="str">
        <x:v>B011</x:v>
      </x:c>
      <x:c r="L15" s="3" t="str">
        <x:v>apps/problems/views.py:ProblemListCreateView</x:v>
      </x:c>
      <x:c r="M15" s="3" t="str">
        <x:v>evidence/api-boundaries.json + api-boundaries.xml</x:v>
      </x:c>
      <x:c r="N15" s="10" t="str">
        <x:v>Passed</x:v>
      </x:c>
      <x:c r="O15" s="10" t="str">
        <x:v>Codex</x:v>
      </x:c>
      <x:c r="P15" s="10" t="str">
        <x:v>14 Oct 2026 — HTTP 400: {"success": false, "message": "[{'marks': [ErrorDetail(string='Ensure this value is greater than or equal to 0.', code='min_value')]}]"}</x:v>
      </x:c>
    </x:row>
    <x:row r="16" ht="131" customHeight="1">
      <x:c r="A16" s="3" t="str">
        <x:v>API-P10</x:v>
      </x:c>
      <x:c r="B16" s="3" t="str">
        <x:v>Failed</x:v>
      </x:c>
      <x:c r="C16" s="3" t="str">
        <x:v>Problem authoring</x:v>
      </x:c>
      <x:c r="D16" s="3" t="str">
        <x:v>Non-numeric marks</x:v>
      </x:c>
      <x:c r="E16" s="3" t="str">
        <x:v>Faculty</x:v>
      </x:c>
      <x:c r="F16" s="3" t="str">
        <x:v>Isolated API test</x:v>
      </x:c>
      <x:c r="G16" s="3" t="str">
        <x:v>POST /api/v1/problems/ as the problem owner</x:v>
      </x:c>
      <x:c r="H16" s="3" t="str">
        <x:v>{"testCases": [{"marks": "abc"}]}</x:v>
      </x:c>
      <x:c r="I16" s="3" t="str">
        <x:v>HTTP 400; invalid input does not create a problem</x:v>
      </x:c>
      <x:c r="J16" s="3" t="str">
        <x:v>HTTP 201: {"_id": "648fdedc-3c2a-454f-8db8-6962115eaa75", "title": "QA new problem", "description": "Add integers", "difficulty": "easy", "inputFormat": "Integers", "outputFormat": "Sum", "sampleIO": [{"input": "2 3", "output": "5", "order": 0}], "testCases": [{"id": "53ae855d-9938-41d1-abac-6f137db566dd", "inputs": "", "outputs": "", "marks": 0, "cpu_time_limit": 1.0, "memory_limit": 128, "is_hidden": false, "order": 0}], "constraints": "", "tags": [], "totalMarks": 0, "createdBy": "1948c07c-c808-4c5d-b0ae-0cc209c89042"}</x:v>
      </x:c>
      <x:c r="K16" s="3" t="str">
        <x:v>B011</x:v>
      </x:c>
      <x:c r="L16" s="3" t="str">
        <x:v>apps/problems/views.py:ProblemListCreateView</x:v>
      </x:c>
      <x:c r="M16" s="3" t="str">
        <x:v>evidence/api-boundaries.json + api-boundaries.xml</x:v>
      </x:c>
      <x:c r="N16" s="10" t="str">
        <x:v>Passed</x:v>
      </x:c>
      <x:c r="O16" s="10" t="str">
        <x:v>Codex</x:v>
      </x:c>
      <x:c r="P16" s="10" t="str">
        <x:v>14 Oct 2026 — HTTP 400: {"success": false, "message": "[{'marks': [ErrorDetail(string='A valid integer is required.', code='invalid')]}]"}</x:v>
      </x:c>
    </x:row>
    <x:row r="17" ht="131" customHeight="1">
      <x:c r="A17" s="3" t="str">
        <x:v>API-P11</x:v>
      </x:c>
      <x:c r="B17" s="3" t="str">
        <x:v>Failed</x:v>
      </x:c>
      <x:c r="C17" s="3" t="str">
        <x:v>Problem authoring</x:v>
      </x:c>
      <x:c r="D17" s="3" t="str">
        <x:v>Fractional marks</x:v>
      </x:c>
      <x:c r="E17" s="3" t="str">
        <x:v>Faculty</x:v>
      </x:c>
      <x:c r="F17" s="3" t="str">
        <x:v>Isolated API test</x:v>
      </x:c>
      <x:c r="G17" s="3" t="str">
        <x:v>POST /api/v1/problems/ as the problem owner</x:v>
      </x:c>
      <x:c r="H17" s="3" t="str">
        <x:v>{"testCases": [{"marks": 1.5}]}</x:v>
      </x:c>
      <x:c r="I17" s="3" t="str">
        <x:v>HTTP 400; invalid input does not create a problem</x:v>
      </x:c>
      <x:c r="J17" s="3" t="str">
        <x:v>HTTP 201: {"_id": "70a7f776-0f53-4a25-b83f-b07b5a9eb140", "title": "QA new problem", "description": "Add integers", "difficulty": "easy", "inputFormat": "Integers", "outputFormat": "Sum", "sampleIO": [{"input": "2 3", "output": "5", "order": 0}], "testCases": [{"id": "10de74b7-409e-4d70-88ce-4c2ae294daa9", "inputs": "", "outputs": "", "marks": 1, "cpu_time_limit": 1.0, "memory_limit": 128, "is_hidden": false, "order": 0}], "constraints": "", "tags": [], "totalMarks": 0, "createdBy": "59748964-b2bd-4fbf-a929-bf1cec5eb6ca"}</x:v>
      </x:c>
      <x:c r="K17" s="3" t="str">
        <x:v>B011</x:v>
      </x:c>
      <x:c r="L17" s="3" t="str">
        <x:v>apps/problems/views.py:ProblemListCreateView</x:v>
      </x:c>
      <x:c r="M17" s="3" t="str">
        <x:v>evidence/api-boundaries.json + api-boundaries.xml</x:v>
      </x:c>
      <x:c r="N17" s="10" t="str">
        <x:v>Passed</x:v>
      </x:c>
      <x:c r="O17" s="10" t="str">
        <x:v>Codex</x:v>
      </x:c>
      <x:c r="P17" s="10" t="str">
        <x:v>14 Oct 2026 — HTTP 400: {"success": false, "message": "[{'marks': [ErrorDetail(string='A valid integer is required.', code='invalid')]}]"}</x:v>
      </x:c>
    </x:row>
    <x:row r="18" ht="93" customHeight="1">
      <x:c r="A18" s="3" t="str">
        <x:v>API-P12</x:v>
      </x:c>
      <x:c r="B18" s="3" t="str">
        <x:v>Passed</x:v>
      </x:c>
      <x:c r="C18" s="3" t="str">
        <x:v>Problem authoring</x:v>
      </x:c>
      <x:c r="D18" s="3" t="str">
        <x:v>CPU limit below minimum</x:v>
      </x:c>
      <x:c r="E18" s="3" t="str">
        <x:v>Faculty</x:v>
      </x:c>
      <x:c r="F18" s="3" t="str">
        <x:v>Isolated API test</x:v>
      </x:c>
      <x:c r="G18" s="3" t="str">
        <x:v>POST /api/v1/problems/ as the problem owner</x:v>
      </x:c>
      <x:c r="H18" s="3" t="str">
        <x:v>{"testCases": [{"marks": 1, "cpu_time_limit": 0}]}</x:v>
      </x:c>
      <x:c r="I18" s="3" t="str">
        <x:v>HTTP 400; invalid input does not create a problem</x:v>
      </x:c>
      <x:c r="J18" s="3" t="str">
        <x:v>HTTP 400: {"message": "Test Case 1: CPU time limit must be between 1 and 15 seconds."}</x:v>
      </x:c>
      <x:c r="K18" s="3" t="str"/>
      <x:c r="L18" s="3" t="str">
        <x:v>apps/problems/views.py:ProblemListCreateView</x:v>
      </x:c>
      <x:c r="M18" s="3" t="str">
        <x:v>evidence/api-boundaries.json + api-boundaries.xml</x:v>
      </x:c>
      <x:c r="N18" s="10" t="str">
        <x:v>Passed</x:v>
      </x:c>
      <x:c r="O18" s="10" t="str">
        <x:v>Codex</x:v>
      </x:c>
      <x:c r="P18" s="10" t="str">
        <x:v>14 Oct 2026 — HTTP 400: {"success": false, "message": "[{'cpu_time_limit': [ErrorDetail(string='Ensure this value is greater than or equal to 1.', code='min_value')]}]"}</x:v>
      </x:c>
    </x:row>
    <x:row r="19" ht="80" customHeight="1">
      <x:c r="A19" s="3" t="str">
        <x:v>API-P13</x:v>
      </x:c>
      <x:c r="B19" s="3" t="str">
        <x:v>Passed</x:v>
      </x:c>
      <x:c r="C19" s="3" t="str">
        <x:v>Problem authoring</x:v>
      </x:c>
      <x:c r="D19" s="3" t="str">
        <x:v>CPU limit above maximum</x:v>
      </x:c>
      <x:c r="E19" s="3" t="str">
        <x:v>Faculty</x:v>
      </x:c>
      <x:c r="F19" s="3" t="str">
        <x:v>Isolated API test</x:v>
      </x:c>
      <x:c r="G19" s="3" t="str">
        <x:v>POST /api/v1/problems/ as the problem owner</x:v>
      </x:c>
      <x:c r="H19" s="3" t="str">
        <x:v>{"testCases": [{"marks": 1, "cpu_time_limit": 16}]}</x:v>
      </x:c>
      <x:c r="I19" s="3" t="str">
        <x:v>HTTP 400; invalid input does not create a problem</x:v>
      </x:c>
      <x:c r="J19" s="3" t="str">
        <x:v>HTTP 400: {"message": "Test Case 1: CPU time limit must be between 1 and 15 seconds."}</x:v>
      </x:c>
      <x:c r="K19" s="3" t="str"/>
      <x:c r="L19" s="3" t="str">
        <x:v>apps/problems/views.py:ProblemListCreateView</x:v>
      </x:c>
      <x:c r="M19" s="3" t="str">
        <x:v>evidence/api-boundaries.json + api-boundaries.xml</x:v>
      </x:c>
      <x:c r="N19" s="10" t="str">
        <x:v>Passed</x:v>
      </x:c>
      <x:c r="O19" s="10" t="str">
        <x:v>Codex</x:v>
      </x:c>
      <x:c r="P19" s="10" t="str">
        <x:v>14 Oct 2026 — HTTP 400: {"success": false, "message": "[{'cpu_time_limit': [ErrorDetail(string='Ensure this value is less than or equal to 15.', code='max_value')]}]"}</x:v>
      </x:c>
    </x:row>
    <x:row r="20" ht="131" customHeight="1">
      <x:c r="A20" s="3" t="str">
        <x:v>API-P14</x:v>
      </x:c>
      <x:c r="B20" s="3" t="str">
        <x:v>Failed</x:v>
      </x:c>
      <x:c r="C20" s="3" t="str">
        <x:v>Problem authoring</x:v>
      </x:c>
      <x:c r="D20" s="3" t="str">
        <x:v>CPU limit is non-numeric</x:v>
      </x:c>
      <x:c r="E20" s="3" t="str">
        <x:v>Faculty</x:v>
      </x:c>
      <x:c r="F20" s="3" t="str">
        <x:v>Isolated API test</x:v>
      </x:c>
      <x:c r="G20" s="3" t="str">
        <x:v>POST /api/v1/problems/ as the problem owner</x:v>
      </x:c>
      <x:c r="H20" s="3" t="str">
        <x:v>{"testCases": [{"marks": 1, "cpu_time_limit": "bad"}]}</x:v>
      </x:c>
      <x:c r="I20" s="3" t="str">
        <x:v>HTTP 400; invalid input does not create a problem</x:v>
      </x:c>
      <x:c r="J20" s="3" t="str">
        <x:v>HTTP 201: {"_id": "078bf63a-e718-491e-ad19-ca6d31850bb2", "title": "QA new problem", "description": "Add integers", "difficulty": "easy", "inputFormat": "Integers", "outputFormat": "Sum", "sampleIO": [{"input": "2 3", "output": "5", "order": 0}], "testCases": [{"id": "073954f9-d770-48cd-a7ea-4725375d7be1", "inputs": "", "outputs": "", "marks": 1, "cpu_time_limit": 1.0, "memory_limit": 128, "is_hidden": false, "order": 0}], "constraints": "", "tags": [], "totalMarks": 1, "createdBy": "23c5bd73-e0e5-44de-8eb2-fec17e544bae"}</x:v>
      </x:c>
      <x:c r="K20" s="3" t="str">
        <x:v>B009</x:v>
      </x:c>
      <x:c r="L20" s="3" t="str">
        <x:v>apps/problems/views.py:ProblemListCreateView</x:v>
      </x:c>
      <x:c r="M20" s="3" t="str">
        <x:v>evidence/api-boundaries.json + api-boundaries.xml</x:v>
      </x:c>
      <x:c r="N20" s="10" t="str">
        <x:v>Passed</x:v>
      </x:c>
      <x:c r="O20" s="10" t="str">
        <x:v>Codex</x:v>
      </x:c>
      <x:c r="P20" s="10" t="str">
        <x:v>14 Oct 2026 — HTTP 400: {"success": false, "message": "[{'cpu_time_limit': [ErrorDetail(string='A valid number is required.', code='invalid')]}]"}</x:v>
      </x:c>
    </x:row>
    <x:row r="21" ht="80" customHeight="1">
      <x:c r="A21" s="3" t="str">
        <x:v>API-P15</x:v>
      </x:c>
      <x:c r="B21" s="3" t="str">
        <x:v>Passed</x:v>
      </x:c>
      <x:c r="C21" s="3" t="str">
        <x:v>Problem authoring</x:v>
      </x:c>
      <x:c r="D21" s="3" t="str">
        <x:v>Memory below minimum</x:v>
      </x:c>
      <x:c r="E21" s="3" t="str">
        <x:v>Faculty</x:v>
      </x:c>
      <x:c r="F21" s="3" t="str">
        <x:v>Isolated API test</x:v>
      </x:c>
      <x:c r="G21" s="3" t="str">
        <x:v>POST /api/v1/problems/ as the problem owner</x:v>
      </x:c>
      <x:c r="H21" s="3" t="str">
        <x:v>{"testCases": [{"marks": 1, "memory_limit": 0}]}</x:v>
      </x:c>
      <x:c r="I21" s="3" t="str">
        <x:v>HTTP 400; invalid input does not create a problem</x:v>
      </x:c>
      <x:c r="J21" s="3" t="str">
        <x:v>HTTP 400: {"message": "Test Case 1: Memory limit must be between 1 and 256 MB."}</x:v>
      </x:c>
      <x:c r="K21" s="3" t="str"/>
      <x:c r="L21" s="3" t="str">
        <x:v>apps/problems/views.py:ProblemListCreateView</x:v>
      </x:c>
      <x:c r="M21" s="3" t="str">
        <x:v>evidence/api-boundaries.json + api-boundaries.xml</x:v>
      </x:c>
      <x:c r="N21" s="10" t="str">
        <x:v>Passed</x:v>
      </x:c>
      <x:c r="O21" s="10" t="str">
        <x:v>Codex</x:v>
      </x:c>
      <x:c r="P21" s="10" t="str">
        <x:v>14 Oct 2026 — HTTP 400: {"success": false, "message": "[{'memory_limit': [ErrorDetail(string='Ensure this value is greater than or equal to 1.', code='min_value')]}]"}</x:v>
      </x:c>
    </x:row>
    <x:row r="22" ht="80" customHeight="1">
      <x:c r="A22" s="3" t="str">
        <x:v>API-P16</x:v>
      </x:c>
      <x:c r="B22" s="3" t="str">
        <x:v>Passed</x:v>
      </x:c>
      <x:c r="C22" s="3" t="str">
        <x:v>Problem authoring</x:v>
      </x:c>
      <x:c r="D22" s="3" t="str">
        <x:v>Memory above maximum</x:v>
      </x:c>
      <x:c r="E22" s="3" t="str">
        <x:v>Faculty</x:v>
      </x:c>
      <x:c r="F22" s="3" t="str">
        <x:v>Isolated API test</x:v>
      </x:c>
      <x:c r="G22" s="3" t="str">
        <x:v>POST /api/v1/problems/ as the problem owner</x:v>
      </x:c>
      <x:c r="H22" s="3" t="str">
        <x:v>{"testCases": [{"marks": 1, "memory_limit": 257}]}</x:v>
      </x:c>
      <x:c r="I22" s="3" t="str">
        <x:v>HTTP 400; invalid input does not create a problem</x:v>
      </x:c>
      <x:c r="J22" s="3" t="str">
        <x:v>HTTP 400: {"message": "Test Case 1: Memory limit must be between 1 and 256 MB."}</x:v>
      </x:c>
      <x:c r="K22" s="3" t="str"/>
      <x:c r="L22" s="3" t="str">
        <x:v>apps/problems/views.py:ProblemListCreateView</x:v>
      </x:c>
      <x:c r="M22" s="3" t="str">
        <x:v>evidence/api-boundaries.json + api-boundaries.xml</x:v>
      </x:c>
      <x:c r="N22" s="10" t="str">
        <x:v>Passed</x:v>
      </x:c>
      <x:c r="O22" s="10" t="str">
        <x:v>Codex</x:v>
      </x:c>
      <x:c r="P22" s="10" t="str">
        <x:v>14 Oct 2026 — HTTP 400: {"success": false, "message": "[{'memory_limit': [ErrorDetail(string='Ensure this value is less than or equal to 256.', code='max_value')]}]"}</x:v>
      </x:c>
    </x:row>
    <x:row r="23" ht="92" customHeight="1">
      <x:c r="A23" s="3" t="str">
        <x:v>API-P17</x:v>
      </x:c>
      <x:c r="B23" s="3" t="str">
        <x:v>Failed</x:v>
      </x:c>
      <x:c r="C23" s="3" t="str">
        <x:v>Problem authoring</x:v>
      </x:c>
      <x:c r="D23" s="3" t="str">
        <x:v>String false for hidden flag</x:v>
      </x:c>
      <x:c r="E23" s="3" t="str">
        <x:v>Faculty</x:v>
      </x:c>
      <x:c r="F23" s="3" t="str">
        <x:v>Isolated API test</x:v>
      </x:c>
      <x:c r="G23" s="3" t="str">
        <x:v>POST /api/v1/problems/ as the problem owner</x:v>
      </x:c>
      <x:c r="H23" s="3" t="str">
        <x:v>{"testCases": [{"marks": 1, "is_hidden": "false"}]}</x:v>
      </x:c>
      <x:c r="I23" s="3" t="str">
        <x:v>HTTP 400; invalid input does not create a problem</x:v>
      </x:c>
      <x:c r="J23" s="3" t="str">
        <x:v>HTTP 201: {"_id": "a8e013ff-ea06-4ec7-a244-36bdcdd997d6", "title": "QA new problem", "description": "Add integers", "difficulty": "easy", "inputFormat": "Integers", "outputFormat": "Sum", "sampleIO": [{"input": "2 3", "output": "5", "order": 0}], "testCases": [], "constraints": "", "tags": [], "totalMarks": 1, "createdBy": "ff629a70-6123-43b5-b94b-263f51a94abf"}</x:v>
      </x:c>
      <x:c r="K23" s="3" t="str">
        <x:v>B009</x:v>
      </x:c>
      <x:c r="L23" s="3" t="str">
        <x:v>apps/problems/views.py:ProblemListCreateView</x:v>
      </x:c>
      <x:c r="M23" s="3" t="str">
        <x:v>evidence/api-boundaries.json + api-boundaries.xml</x:v>
      </x:c>
      <x:c r="N23" s="10" t="str">
        <x:v>Passed</x:v>
      </x:c>
      <x:c r="O23" s="10" t="str">
        <x:v>Codex</x:v>
      </x:c>
      <x:c r="P23" s="10" t="str">
        <x:v>14 Oct 2026 — HTTP 400: {"success": false, "message": "[{'is_hidden': [ErrorDetail(string='Must be a boolean.', code='invalid')]}]"}</x:v>
      </x:c>
    </x:row>
    <x:row r="24" ht="170" customHeight="1">
      <x:c r="A24" s="3" t="str">
        <x:v>API-P18</x:v>
      </x:c>
      <x:c r="B24" s="3" t="str">
        <x:v>Failed</x:v>
      </x:c>
      <x:c r="C24" s="3" t="str">
        <x:v>Problem authoring</x:v>
      </x:c>
      <x:c r="D24" s="3" t="str">
        <x:v>Title exceeds storage length</x:v>
      </x:c>
      <x:c r="E24" s="3" t="str">
        <x:v>Faculty</x:v>
      </x:c>
      <x:c r="F24" s="3" t="str">
        <x:v>Isolated API test</x:v>
      </x:c>
      <x:c r="G24" s="3" t="str">
        <x:v>POST /api/v1/problems/ as the problem owner</x:v>
      </x:c>
      <x:c r="H24" s="3" t="str">
        <x:v>{"title":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x:v>
      </x:c>
      <x:c r="I24" s="3" t="str">
        <x:v>HTTP 400; invalid input does not create a problem</x:v>
      </x:c>
      <x:c r="J24" s="3" t="str">
        <x:v>HTTP 500: "Server error"</x:v>
      </x:c>
      <x:c r="K24" s="3" t="str">
        <x:v>B010</x:v>
      </x:c>
      <x:c r="L24" s="3" t="str">
        <x:v>apps/problems/views.py:ProblemListCreateView</x:v>
      </x:c>
      <x:c r="M24" s="3" t="str">
        <x:v>evidence/api-boundaries.json + api-boundaries.xml</x:v>
      </x:c>
      <x:c r="N24" s="10" t="str">
        <x:v>Passed</x:v>
      </x:c>
      <x:c r="O24" s="10" t="str">
        <x:v>Codex</x:v>
      </x:c>
      <x:c r="P24" s="10" t="str">
        <x:v>14 Oct 2026 — HTTP 400: {"success": false, "message": "[ErrorDetail(string='Ensure this field has no more than 500 characters.', code='max_length')]"}</x:v>
      </x:c>
    </x:row>
    <x:row r="25" ht="210" customHeight="1">
      <x:c r="A25" s="3" t="str">
        <x:v>API-P19</x:v>
      </x:c>
      <x:c r="B25" s="3" t="str">
        <x:v>Passed</x:v>
      </x:c>
      <x:c r="C25" s="3" t="str">
        <x:v>Problem authoring</x:v>
      </x:c>
      <x:c r="D25" s="3" t="str">
        <x:v>Valid create</x:v>
      </x:c>
      <x:c r="E25" s="3" t="str">
        <x:v>Faculty</x:v>
      </x:c>
      <x:c r="F25" s="3" t="str">
        <x:v>Isolated API test</x:v>
      </x:c>
      <x:c r="G25" s="3" t="str">
        <x:v>POST /api/v1/problems/ as the problem owner</x:v>
      </x:c>
      <x:c r="H25" s="3" t="str">
        <x:v>{}</x:v>
      </x:c>
      <x:c r="I25" s="3" t="str">
        <x:v>HTTP 201 with persisted problem</x:v>
      </x:c>
      <x:c r="J25" s="3" t="str">
        <x:v>HTTP 201: {"_id": "8905cdb8-3f9d-47a0-b4f3-8e2158113a4d", "title": "QA new problem", "description": "Add integers", "difficulty": "easy", "inputFormat": "Integers", "outputFormat": "Sum", "sampleIO": [{"input": "2 3", "output": "5", "order": 0}], "testCases": [{"id": "08e50777-6c90-4314-bfc8-adcc59ae7979", "inputs": "2 3", "outputs": "5", "marks": 10, "cpu_time_limit": 1.0, "memory_limit": 128, "is_hidden": false, "order": 0}], "constraints": "", "tags": [], "totalMarks": 10, "createdBy": "2b9744a1-65e1-4db5-aae2-c5c39b3a1491"}</x:v>
      </x:c>
      <x:c r="K25" s="3" t="str"/>
      <x:c r="L25" s="3" t="str">
        <x:v>apps/problems/views.py:ProblemListCreateView</x:v>
      </x:c>
      <x:c r="M25" s="3" t="str">
        <x:v>evidence/api-boundaries.json + api-boundaries.xml</x:v>
      </x:c>
      <x:c r="N25" s="10" t="str">
        <x:v>Passed</x:v>
      </x:c>
      <x:c r="O25" s="10" t="str">
        <x:v>Codex</x:v>
      </x:c>
      <x:c r="P25" s="10" t="str">
        <x:v>14 Oct 2026 — HTTP 201: {"_id": "78d3b2b5-2218-499e-8c1e-01211a5e1cb4", "title": "QA new problem", "description": "Add integers", "difficulty": "easy", "inputFormat": "Integers", "outputFormat": "Sum", "sampleIO": [{"input": "2 3", "output": "5", "order": 0}], "testCases": [{"id": "5b446016-3d48-4e71-8a78-6bd33d3f7046", "inputs": "2 3", "outputs": "5", "marks": 10, "cpu_time_limit": 1.0, "memory_limit": 128, "is_hidden": false, "order": 0}], "constraints": null, "tags": [], "totalMarks": 10, "createdBy": "af82e38c-4d07-464c-ade5-3027ee62b68c"}</x:v>
      </x:c>
    </x:row>
    <x:row r="26" ht="131" customHeight="1">
      <x:c r="A26" s="3" t="str">
        <x:v>API-U01</x:v>
      </x:c>
      <x:c r="B26" s="3" t="str">
        <x:v>Failed</x:v>
      </x:c>
      <x:c r="C26" s="3" t="str">
        <x:v>Problem authoring</x:v>
      </x:c>
      <x:c r="D26" s="3" t="str">
        <x:v>Blank title during edit</x:v>
      </x:c>
      <x:c r="E26" s="3" t="str">
        <x:v>Faculty</x:v>
      </x:c>
      <x:c r="F26" s="3" t="str">
        <x:v>Isolated API test</x:v>
      </x:c>
      <x:c r="G26" s="3" t="str">
        <x:v>PUT /api/v1/problems/{owned problem UUID}</x:v>
      </x:c>
      <x:c r="H26" s="3" t="str">
        <x:v>{"title": ""}</x:v>
      </x:c>
      <x:c r="I26" s="3" t="str">
        <x:v>HTTP 400; original problem is unchanged</x:v>
      </x:c>
      <x:c r="J26" s="3" t="str">
        <x:v>HTTP 200: {"_id": "1aec3ce7-d209-493c-99ab-8c313c570760", "title": "", "description": "Add two integers.", "difficulty": "easy", "inputFormat": "", "outputFormat": "", "sampleIO": [{"input": "original sample", "output": "original output", "order": 0}], "testCases": [{"id": "99ff3de9-5e50-4735-8793-b93f404c39c8", "inputs": "2 3", "outputs": "5", "marks": 10, "cpu_time_limit": 1.0, "memory_limit": 128, "is_hidden": false, "order": 0}], "constraints": null, "tags": [], "totalMarks": 20, "createdBy": "7e809ae4-23c2-4b8c-bd05-061e40a75320"}</x:v>
      </x:c>
      <x:c r="K26" s="3" t="str">
        <x:v>B009</x:v>
      </x:c>
      <x:c r="L26" s="3" t="str">
        <x:v>apps/problems/views.py:ProblemDetailUpdateDeleteView</x:v>
      </x:c>
      <x:c r="M26" s="3" t="str">
        <x:v>evidence/api-boundaries.json + api-boundaries.xml</x:v>
      </x:c>
      <x:c r="N26" s="10" t="str">
        <x:v>Passed</x:v>
      </x:c>
      <x:c r="O26" s="10" t="str">
        <x:v>Codex</x:v>
      </x:c>
      <x:c r="P26" s="10" t="str">
        <x:v>14 Oct 2026 — HTTP 400: {"success": false, "message": "[ErrorDetail(string='This field may not be blank.', code='blank')]"}</x:v>
      </x:c>
    </x:row>
    <x:row r="27" ht="80" customHeight="1">
      <x:c r="A27" s="3" t="str">
        <x:v>API-U02</x:v>
      </x:c>
      <x:c r="B27" s="3" t="str">
        <x:v>Failed</x:v>
      </x:c>
      <x:c r="C27" s="3" t="str">
        <x:v>Problem authoring</x:v>
      </x:c>
      <x:c r="D27" s="3" t="str">
        <x:v>CPU limit is a string during edit</x:v>
      </x:c>
      <x:c r="E27" s="3" t="str">
        <x:v>Faculty</x:v>
      </x:c>
      <x:c r="F27" s="3" t="str">
        <x:v>Isolated API test</x:v>
      </x:c>
      <x:c r="G27" s="3" t="str">
        <x:v>PUT /api/v1/problems/{owned problem UUID}</x:v>
      </x:c>
      <x:c r="H27" s="3" t="str">
        <x:v>{"testCases": [{"marks": 10, "cpu_time_limit": "bad", "memory_limit": 128}]}</x:v>
      </x:c>
      <x:c r="I27" s="3" t="str">
        <x:v>HTTP 400; original problem is unchanged</x:v>
      </x:c>
      <x:c r="J27" s="3" t="str">
        <x:v>HTTP 500: "Server error"</x:v>
      </x:c>
      <x:c r="K27" s="3" t="str">
        <x:v>B010</x:v>
      </x:c>
      <x:c r="L27" s="3" t="str">
        <x:v>apps/problems/views.py:ProblemDetailUpdateDeleteView</x:v>
      </x:c>
      <x:c r="M27" s="3" t="str">
        <x:v>evidence/api-boundaries.json + api-boundaries.xml</x:v>
      </x:c>
      <x:c r="N27" s="10" t="str">
        <x:v>Passed</x:v>
      </x:c>
      <x:c r="O27" s="10" t="str">
        <x:v>Codex</x:v>
      </x:c>
      <x:c r="P27" s="10" t="str">
        <x:v>14 Oct 2026 — HTTP 400: {"success": false, "message": "[{'cpu_time_limit': [ErrorDetail(string='A valid number is required.', code='invalid')]}]"}</x:v>
      </x:c>
    </x:row>
    <x:row r="28" ht="67" customHeight="1">
      <x:c r="A28" s="3" t="str">
        <x:v>API-U03</x:v>
      </x:c>
      <x:c r="B28" s="3" t="str">
        <x:v>Failed</x:v>
      </x:c>
      <x:c r="C28" s="3" t="str">
        <x:v>Problem authoring</x:v>
      </x:c>
      <x:c r="D28" s="3" t="str">
        <x:v>Null test case during edit</x:v>
      </x:c>
      <x:c r="E28" s="3" t="str">
        <x:v>Faculty</x:v>
      </x:c>
      <x:c r="F28" s="3" t="str">
        <x:v>Isolated API test</x:v>
      </x:c>
      <x:c r="G28" s="3" t="str">
        <x:v>PUT /api/v1/problems/{owned problem UUID}</x:v>
      </x:c>
      <x:c r="H28" s="3" t="str">
        <x:v>{"testCases": [null]}</x:v>
      </x:c>
      <x:c r="I28" s="3" t="str">
        <x:v>HTTP 400; original problem is unchanged</x:v>
      </x:c>
      <x:c r="J28" s="3" t="str">
        <x:v>HTTP 500: "Server error"</x:v>
      </x:c>
      <x:c r="K28" s="3" t="str">
        <x:v>B010</x:v>
      </x:c>
      <x:c r="L28" s="3" t="str">
        <x:v>apps/problems/views.py:ProblemDetailUpdateDeleteView</x:v>
      </x:c>
      <x:c r="M28" s="3" t="str">
        <x:v>evidence/api-boundaries.json + api-boundaries.xml</x:v>
      </x:c>
      <x:c r="N28" s="10" t="str">
        <x:v>Passed</x:v>
      </x:c>
      <x:c r="O28" s="10" t="str">
        <x:v>Codex</x:v>
      </x:c>
      <x:c r="P28" s="10" t="str">
        <x:v>14 Oct 2026 — HTTP 400: {"success": false, "message": "[[ErrorDetail(string='This field may not be null.', code='null')]]"}</x:v>
      </x:c>
    </x:row>
    <x:row r="29" ht="80" customHeight="1">
      <x:c r="A29" s="3" t="str">
        <x:v>API-U04</x:v>
      </x:c>
      <x:c r="B29" s="3" t="str">
        <x:v>Failed</x:v>
      </x:c>
      <x:c r="C29" s="3" t="str">
        <x:v>Problem authoring</x:v>
      </x:c>
      <x:c r="D29" s="3" t="str">
        <x:v>Negative marks during edit</x:v>
      </x:c>
      <x:c r="E29" s="3" t="str">
        <x:v>Faculty</x:v>
      </x:c>
      <x:c r="F29" s="3" t="str">
        <x:v>Isolated API test</x:v>
      </x:c>
      <x:c r="G29" s="3" t="str">
        <x:v>PUT /api/v1/problems/{owned problem UUID}</x:v>
      </x:c>
      <x:c r="H29" s="3" t="str">
        <x:v>{"testCases": [{"marks": -1, "cpu_time_limit": 1, "memory_limit": 128}]}</x:v>
      </x:c>
      <x:c r="I29" s="3" t="str">
        <x:v>HTTP 400; original problem is unchanged</x:v>
      </x:c>
      <x:c r="J29" s="3" t="str">
        <x:v>HTTP 500: "Server error"</x:v>
      </x:c>
      <x:c r="K29" s="3" t="str">
        <x:v>B011</x:v>
      </x:c>
      <x:c r="L29" s="3" t="str">
        <x:v>apps/problems/views.py:ProblemDetailUpdateDeleteView</x:v>
      </x:c>
      <x:c r="M29" s="3" t="str">
        <x:v>evidence/api-boundaries.json + api-boundaries.xml</x:v>
      </x:c>
      <x:c r="N29" s="10" t="str">
        <x:v>Passed</x:v>
      </x:c>
      <x:c r="O29" s="10" t="str">
        <x:v>Codex</x:v>
      </x:c>
      <x:c r="P29" s="10" t="str">
        <x:v>14 Oct 2026 — HTTP 400: {"success": false, "message": "[{'marks': [ErrorDetail(string='Ensure this value is greater than or equal to 0.', code='min_value')]}]"}</x:v>
      </x:c>
    </x:row>
    <x:row r="30" ht="66" customHeight="1">
      <x:c r="A30" s="3" t="str">
        <x:v>API-U05</x:v>
      </x:c>
      <x:c r="B30" s="3" t="str">
        <x:v>Failed</x:v>
      </x:c>
      <x:c r="C30" s="3" t="str">
        <x:v>Problem authoring</x:v>
      </x:c>
      <x:c r="D30" s="3" t="str">
        <x:v>Rejected edit must preserve original sample IO</x:v>
      </x:c>
      <x:c r="E30" s="3" t="str">
        <x:v>Faculty</x:v>
      </x:c>
      <x:c r="F30" s="3" t="str">
        <x:v>Isolated API test</x:v>
      </x:c>
      <x:c r="G30" s="3" t="str">
        <x:v>PUT valid replacement sampleIO together with CPU limit 99; GET problem afterwards</x:v>
      </x:c>
      <x:c r="H30" s="3" t="str"/>
      <x:c r="I30" s="3" t="str">
        <x:v>HTTP 400 and original sample retained</x:v>
      </x:c>
      <x:c r="J30" s="3" t="str">
        <x:v>HTTP 400; samples after rejected edit: ['replacement']</x:v>
      </x:c>
      <x:c r="K30" s="3" t="str">
        <x:v>B005</x:v>
      </x:c>
      <x:c r="L30" s="3" t="str">
        <x:v>apps/problems/views.py:ProblemDetailUpdateDeleteView.put</x:v>
      </x:c>
      <x:c r="M30" s="3" t="str">
        <x:v>evidence/api-boundaries.json + api-boundaries.xml</x:v>
      </x:c>
      <x:c r="N30" s="10" t="str">
        <x:v>Passed</x:v>
      </x:c>
      <x:c r="O30" s="10" t="str">
        <x:v>Codex</x:v>
      </x:c>
      <x:c r="P30" s="10" t="str">
        <x:v>14 Oct 2026 — HTTP 400; samples after rejected edit: ['original sample']</x:v>
      </x:c>
    </x:row>
    <x:row r="31" ht="183" customHeight="1">
      <x:c r="A31" s="3" t="str">
        <x:v>API-C01</x:v>
      </x:c>
      <x:c r="B31" s="3" t="str">
        <x:v>Failed</x:v>
      </x:c>
      <x:c r="C31" s="3" t="str">
        <x:v>Assessment scheduling</x:v>
      </x:c>
      <x:c r="D31" s="3" t="str">
        <x:v>Edit only end time to before the existing start</x:v>
      </x:c>
      <x:c r="E31" s="3" t="str">
        <x:v>Faculty</x:v>
      </x:c>
      <x:c r="F31" s="3" t="str">
        <x:v>Isolated API test</x:v>
      </x:c>
      <x:c r="G31" s="3" t="str">
        <x:v>PUT only one date field for an existing assessment</x:v>
      </x:c>
      <x:c r="H31" s="3" t="str">
        <x:v>{"end_time": "2000-01-01T00:00:00Z"}</x:v>
      </x:c>
      <x:c r="I31" s="3" t="str">
        <x:v>HTTP 400; opening remains before closing</x:v>
      </x:c>
      <x:c r="J31" s="3" t="str">
        <x:v>HTTP 200: {"_id": "c526c3a0-77de-49bf-a5b2-c821f717f3fb", "id": "c526c3a0-77de-49bf-a5b2-c821f717f3fb", "name": "QA assessment", "description": "QA", "created_by": {"_id": "2f795ded-5527-4e3e-ac4a-c9e280f82e45", "id": "2f795ded-5527-4e3e-ac4a-c9e280f82e45", "username": "qa_faculty", "email": "faculty@example.test", "role": "faculty"}, "problems": [{"_id": "481b9f0e-0d41-450e-939d-2186e1c858d9", "id": "481b9f0e-0d41-450e-939d-2186e1c858d9", "title": "QA pair sum", "name": "QA pair sum", "difficulty": "easy", "maxMarks": 20, "createdAt": "2026-10-14T04:58:34.747445Z"}], "assignedStudents": ["ad9b806e-f041-4753-87e0-9f025a0b4db3"], "start_time": "2026-10-14T03:58:34.750015Z", "end_time": "2000-01-01T00:00:00Z", "status": "completed", "createdAt": "2026-10-14T04:58:34.750073Z", "updatedAt": "2026-10-14T04:58:34.760318Z"}</x:v>
      </x:c>
      <x:c r="K31" s="3" t="str">
        <x:v>B016</x:v>
      </x:c>
      <x:c r="L31" s="3" t="str">
        <x:v>apps/contests/serializers.py:ContestCreateUpdateSerializer.validate</x:v>
      </x:c>
      <x:c r="M31" s="3" t="str">
        <x:v>evidence/api-boundaries.json + api-boundaries.xml</x:v>
      </x:c>
      <x:c r="N31" s="10" t="str">
        <x:v>Passed</x:v>
      </x:c>
      <x:c r="O31" s="10" t="str">
        <x:v>Codex</x:v>
      </x:c>
      <x:c r="P31" s="10" t="str">
        <x:v>14 Oct 2026 — HTTP 400: {"error": ["Start time must be before end time"]}</x:v>
      </x:c>
    </x:row>
    <x:row r="32" ht="183" customHeight="1">
      <x:c r="A32" s="3" t="str">
        <x:v>API-C02</x:v>
      </x:c>
      <x:c r="B32" s="3" t="str">
        <x:v>Failed</x:v>
      </x:c>
      <x:c r="C32" s="3" t="str">
        <x:v>Assessment scheduling</x:v>
      </x:c>
      <x:c r="D32" s="3" t="str">
        <x:v>Edit only start time to after the existing end</x:v>
      </x:c>
      <x:c r="E32" s="3" t="str">
        <x:v>Faculty</x:v>
      </x:c>
      <x:c r="F32" s="3" t="str">
        <x:v>Isolated API test</x:v>
      </x:c>
      <x:c r="G32" s="3" t="str">
        <x:v>PUT only one date field for an existing assessment</x:v>
      </x:c>
      <x:c r="H32" s="3" t="str">
        <x:v>{"start_time": "2099-01-01T00:00:00Z"}</x:v>
      </x:c>
      <x:c r="I32" s="3" t="str">
        <x:v>HTTP 400; opening remains before closing</x:v>
      </x:c>
      <x:c r="J32" s="3" t="str">
        <x:v>HTTP 200: {"_id": "81f6412e-74e1-408b-8f93-96cc4aa50eee", "id": "81f6412e-74e1-408b-8f93-96cc4aa50eee", "name": "QA assessment", "description": "QA", "created_by": {"_id": "962b5601-6a2b-4fb6-a881-5dbbde6f3287", "id": "962b5601-6a2b-4fb6-a881-5dbbde6f3287", "username": "qa_faculty", "email": "faculty@example.test", "role": "faculty"}, "problems": [{"_id": "535ef15a-567c-4053-8ce8-269f9f3a4438", "id": "535ef15a-567c-4053-8ce8-269f9f3a4438", "title": "QA pair sum", "name": "QA pair sum", "difficulty": "easy", "maxMarks": 20, "createdAt": "2026-10-14T04:58:34.799650Z"}], "assignedStudents": ["f70f7fad-e948-41bd-9965-2586264023f0"], "start_time": "2099-01-01T00:00:00Z", "end_time": "2026-10-14T05:58:34.803501Z", "status": "upcoming", "createdAt": "2026-10-14T04:58:34.803561Z", "updatedAt": "2026-10-14T04:58:34.812227Z"}</x:v>
      </x:c>
      <x:c r="K32" s="3" t="str">
        <x:v>B016</x:v>
      </x:c>
      <x:c r="L32" s="3" t="str">
        <x:v>apps/contests/serializers.py:ContestCreateUpdateSerializer.validate</x:v>
      </x:c>
      <x:c r="M32" s="3" t="str">
        <x:v>evidence/api-boundaries.json + api-boundaries.xml</x:v>
      </x:c>
      <x:c r="N32" s="10" t="str">
        <x:v>Passed</x:v>
      </x:c>
      <x:c r="O32" s="10" t="str">
        <x:v>Codex</x:v>
      </x:c>
      <x:c r="P32" s="10" t="str">
        <x:v>14 Oct 2026 — HTTP 400: {"error": ["Start time must be before end time"]}</x:v>
      </x:c>
    </x:row>
    <x:row r="33" ht="131" customHeight="1">
      <x:c r="A33" s="3" t="str">
        <x:v>API-C03</x:v>
      </x:c>
      <x:c r="B33" s="3" t="str">
        <x:v>Failed</x:v>
      </x:c>
      <x:c r="C33" s="3" t="str">
        <x:v>Assessment scheduling</x:v>
      </x:c>
      <x:c r="D33" s="3" t="str">
        <x:v>Unknown problem IDs in assessment creation</x:v>
      </x:c>
      <x:c r="E33" s="3" t="str">
        <x:v>Faculty</x:v>
      </x:c>
      <x:c r="F33" s="3" t="str">
        <x:v>Isolated API test</x:v>
      </x:c>
      <x:c r="G33" s="3" t="str">
        <x:v>POST /api/v1/contests/create with a non-existent problem UUID</x:v>
      </x:c>
      <x:c r="H33" s="3" t="str"/>
      <x:c r="I33" s="3" t="str">
        <x:v>HTTP 400 identifying missing problem</x:v>
      </x:c>
      <x:c r="J33" s="3" t="str">
        <x:v>HTTP 201: {"_id": "0fb19e27-dd60-42da-9b57-374f45414e2b", "id": "0fb19e27-dd60-42da-9b57-374f45414e2b", "name": "QA missing problem", "description": "QA", "created_by": {"_id": "9f3baaa1-309b-47d9-be91-fe84317079ee", "id": "9f3baaa1-309b-47d9-be91-fe84317079ee", "username": "qa_faculty", "email": "faculty@example.test", "role": "faculty"}, "problems": [], "assignedStudents": [], "start_time": "2026-10-14T04:58:34.844042Z", "end_time": "2026-10-14T05:58:34.844042Z", "status": "ongoing", "createdAt": "2026-10-14T04:58:34.847181Z", "updatedAt": "2026-10-14T04:58:34.847413Z"}</x:v>
      </x:c>
      <x:c r="K33" s="3" t="str">
        <x:v>B017</x:v>
      </x:c>
      <x:c r="L33" s="3" t="str">
        <x:v>apps/contests/views.py:resolve_contest_problems</x:v>
      </x:c>
      <x:c r="M33" s="3" t="str">
        <x:v>evidence/api-boundaries.json + api-boundaries.xml</x:v>
      </x:c>
      <x:c r="N33" s="10" t="str">
        <x:v>Passed</x:v>
      </x:c>
      <x:c r="O33" s="10" t="str">
        <x:v>Codex</x:v>
      </x:c>
      <x:c r="P33" s="10" t="str">
        <x:v>14 Oct 2026 — HTTP 400: {"success": false, "message": "One or more selected problems do not exist."}</x:v>
      </x:c>
    </x:row>
    <x:row r="34" ht="67" customHeight="1">
      <x:c r="A34" s="3" t="str">
        <x:v>API-C04</x:v>
      </x:c>
      <x:c r="B34" s="3" t="str">
        <x:v>Failed</x:v>
      </x:c>
      <x:c r="C34" s="3" t="str">
        <x:v>Assessment assignment</x:v>
      </x:c>
      <x:c r="D34" s="3" t="str">
        <x:v>Removing one assessment preserves access through another</x:v>
      </x:c>
      <x:c r="E34" s="3" t="str">
        <x:v>Faculty</x:v>
      </x:c>
      <x:c r="F34" s="3" t="str">
        <x:v>Isolated API test</x:v>
      </x:c>
      <x:c r="G34" s="3" t="str">
        <x:v>Assign the same student and problem to two active contests; delete/unassign the first; open the problem in the second</x:v>
      </x:c>
      <x:c r="H34" s="3" t="str"/>
      <x:c r="I34" s="3" t="str">
        <x:v>Student retains problem access in the remaining active assessment</x:v>
      </x:c>
      <x:c r="J34" s="3" t="str">
        <x:v>Remaining contest assignment=True; problem assignment=False; problem GET HTTP 403</x:v>
      </x:c>
      <x:c r="K34" s="3" t="str">
        <x:v>B006</x:v>
      </x:c>
      <x:c r="L34" s="3" t="str">
        <x:v>apps/contests/views.py:ContestDetailView.delete / UnassignContestToStudentsView</x:v>
      </x:c>
      <x:c r="M34" s="3" t="str">
        <x:v>evidence/api-boundaries.json + api-boundaries.xml</x:v>
      </x:c>
      <x:c r="N34" s="10" t="str">
        <x:v>Passed</x:v>
      </x:c>
      <x:c r="O34" s="10" t="str">
        <x:v>Codex</x:v>
      </x:c>
      <x:c r="P34" s="10" t="str">
        <x:v>14 Oct 2026 — Remaining contest assignment=True; problem assignment=True; problem GET HTTP 200</x:v>
      </x:c>
    </x:row>
    <x:row r="35" ht="67" customHeight="1">
      <x:c r="A35" s="3" t="str">
        <x:v>API-C05</x:v>
      </x:c>
      <x:c r="B35" s="3" t="str">
        <x:v>Failed</x:v>
      </x:c>
      <x:c r="C35" s="3" t="str">
        <x:v>Assessment assignment</x:v>
      </x:c>
      <x:c r="D35" s="3" t="str">
        <x:v>Removing one assessment preserves access through another</x:v>
      </x:c>
      <x:c r="E35" s="3" t="str">
        <x:v>Faculty</x:v>
      </x:c>
      <x:c r="F35" s="3" t="str">
        <x:v>Isolated API test</x:v>
      </x:c>
      <x:c r="G35" s="3" t="str">
        <x:v>Assign the same student and problem to two active contests; delete/unassign the first; open the problem in the second</x:v>
      </x:c>
      <x:c r="H35" s="3" t="str"/>
      <x:c r="I35" s="3" t="str">
        <x:v>Student retains problem access in the remaining active assessment</x:v>
      </x:c>
      <x:c r="J35" s="3" t="str">
        <x:v>Remaining contest assignment=True; problem assignment=False; problem GET HTTP 403</x:v>
      </x:c>
      <x:c r="K35" s="3" t="str">
        <x:v>B006</x:v>
      </x:c>
      <x:c r="L35" s="3" t="str">
        <x:v>apps/contests/views.py:ContestDetailView.delete / UnassignContestToStudentsView</x:v>
      </x:c>
      <x:c r="M35" s="3" t="str">
        <x:v>evidence/api-boundaries.json + api-boundaries.xml</x:v>
      </x:c>
      <x:c r="N35" s="10" t="str">
        <x:v>Passed</x:v>
      </x:c>
      <x:c r="O35" s="10" t="str">
        <x:v>Codex</x:v>
      </x:c>
      <x:c r="P35" s="10" t="str">
        <x:v>14 Oct 2026 — Remaining contest assignment=True; problem assignment=True; problem GET HTTP 200</x:v>
      </x:c>
    </x:row>
    <x:row r="36" ht="157" customHeight="1">
      <x:c r="A36" s="3" t="str">
        <x:v>API-S01</x:v>
      </x:c>
      <x:c r="B36" s="3" t="str">
        <x:v>Failed</x:v>
      </x:c>
      <x:c r="C36" s="3" t="str">
        <x:v>Submission privacy</x:v>
      </x:c>
      <x:c r="D36" s="3" t="str">
        <x:v>Other faculty cannot read private problem submissions</x:v>
      </x:c>
      <x:c r="E36" s="3" t="str">
        <x:v>Faculty</x:v>
      </x:c>
      <x:c r="F36" s="3" t="str">
        <x:v>Isolated API test</x:v>
      </x:c>
      <x:c r="G36" s="3" t="str">
        <x:v>Faculty B requests Faculty A's private problem submission/detail endpoint</x:v>
      </x:c>
      <x:c r="H36" s="3" t="str"/>
      <x:c r="I36" s="3" t="str">
        <x:v>HTTP 403 without code, scores or hidden case data</x:v>
      </x:c>
      <x:c r="J36" s="3" t="str">
        <x:v>HTTP 200: {"_id": "2fd15715-379f-424d-b966-ca0c7156f165", "user_id": {"_id": "16ed77e4-e97a-4f85-8e6d-ff1d1846c3aa", "role": "student", "username": "qa_student"}, "problem_id": {"_id": "f9822ef9-de3c-4b8c-8742-0fe507998b5e", "title": "QA pair sum"}, "code": "private student code", "language": "python", "status": "completed", "execution_time": 0.0, "memory_usage": 0.0, "numberOfTestCase": 0, "numberOfTestCasePass": 0, "totalMarks": 20, "testCaseResults": [{"input": "private-hidden-input", "output": "private-hidden-output", "expectedOutput": "private-hidden-output", "passed": true, "time": 0.0, "memory": 0.0, "is_hidden": true, "marks": 10}], "createdAt": "2026-10-14T04:58:35.034246Z"}</x:v>
      </x:c>
      <x:c r="K36" s="3" t="str">
        <x:v>B001</x:v>
      </x:c>
      <x:c r="L36" s="3" t="str">
        <x:v>apps/submissions/views.py:SubmissionDetailView / AllSubmissionsForProblemView</x:v>
      </x:c>
      <x:c r="M36" s="3" t="str">
        <x:v>evidence/api-boundaries.json + api-boundaries.xml</x:v>
      </x:c>
      <x:c r="N36" s="10" t="str">
        <x:v>Passed</x:v>
      </x:c>
      <x:c r="O36" s="10" t="str">
        <x:v>Codex</x:v>
      </x:c>
      <x:c r="P36" s="10" t="str">
        <x:v>14 Oct 2026 — HTTP 403: {"success": false, "message": "You can only inspect submissions for your own problems."}</x:v>
      </x:c>
    </x:row>
    <x:row r="37" ht="118" customHeight="1">
      <x:c r="A37" s="3" t="str">
        <x:v>API-S02</x:v>
      </x:c>
      <x:c r="B37" s="3" t="str">
        <x:v>Failed</x:v>
      </x:c>
      <x:c r="C37" s="3" t="str">
        <x:v>Submission privacy</x:v>
      </x:c>
      <x:c r="D37" s="3" t="str">
        <x:v>Other faculty cannot read private problem submissions</x:v>
      </x:c>
      <x:c r="E37" s="3" t="str">
        <x:v>Faculty</x:v>
      </x:c>
      <x:c r="F37" s="3" t="str">
        <x:v>Isolated API test</x:v>
      </x:c>
      <x:c r="G37" s="3" t="str">
        <x:v>Faculty B requests Faculty A's private problem submission/detail endpoint</x:v>
      </x:c>
      <x:c r="H37" s="3" t="str"/>
      <x:c r="I37" s="3" t="str">
        <x:v>HTTP 403 without code, scores or hidden case data</x:v>
      </x:c>
      <x:c r="J37" s="3" t="str">
        <x:v>HTTP 200: {"message": "Submissions retrieved successfully", "submissions": [{"_id": "862907f8-7ee0-40cb-96ad-3e6a05e528f0", "language": "python", "status": "completed", "numberOfTestCase": 0, "numberOfTestCasePass": 0, "createdAt": "2026-10-14T04:58:35.086724Z", "totalMarks": 20, "user_id": {"_id": "a4661da8-203e-4777-9136-c58e713b8111", "id": "qa22it001", "username": "qa_student", "batch": "a1", "branch": "cspit-it", "semester": 6, "role": "student"}}]}</x:v>
      </x:c>
      <x:c r="K37" s="3" t="str">
        <x:v>B001</x:v>
      </x:c>
      <x:c r="L37" s="3" t="str">
        <x:v>apps/submissions/views.py:SubmissionDetailView / AllSubmissionsForProblemView</x:v>
      </x:c>
      <x:c r="M37" s="3" t="str">
        <x:v>evidence/api-boundaries.json + api-boundaries.xml</x:v>
      </x:c>
      <x:c r="N37" s="10" t="str">
        <x:v>Passed</x:v>
      </x:c>
      <x:c r="O37" s="10" t="str">
        <x:v>Codex</x:v>
      </x:c>
      <x:c r="P37" s="10" t="str">
        <x:v>14 Oct 2026 — HTTP 403: {"success": false, "message": "You can only inspect submissions for your own problems."}</x:v>
      </x:c>
    </x:row>
    <x:row r="38" ht="66" customHeight="1">
      <x:c r="A38" s="3" t="str">
        <x:v>API-A01</x:v>
      </x:c>
      <x:c r="B38" s="3" t="str">
        <x:v>Failed</x:v>
      </x:c>
      <x:c r="C38" s="3" t="str">
        <x:v>Authentication and sessions</x:v>
      </x:c>
      <x:c r="D38" s="3" t="str">
        <x:v>Password change revokes an existing staff token</x:v>
      </x:c>
      <x:c r="E38" s="3" t="str">
        <x:v>Faculty</x:v>
      </x:c>
      <x:c r="F38" s="3" t="str">
        <x:v>Isolated API test</x:v>
      </x:c>
      <x:c r="G38" s="3" t="str">
        <x:v>Retain a staff access token, change password, replay the retained token</x:v>
      </x:c>
      <x:c r="H38" s="3" t="str"/>
      <x:c r="I38" s="3" t="str">
        <x:v>Password changed; old JWT gets HTTP 401</x:v>
      </x:c>
      <x:c r="J38" s="3" t="str">
        <x:v>Password change HTTP 200; old JWT current-user HTTP 200</x:v>
      </x:c>
      <x:c r="K38" s="3" t="str">
        <x:v>B002</x:v>
      </x:c>
      <x:c r="L38" s="3" t="str">
        <x:v>apps/users/authentication.py / views.py:ChangePasswordView</x:v>
      </x:c>
      <x:c r="M38" s="3" t="str">
        <x:v>evidence/api-boundaries.json + api-boundaries.xml</x:v>
      </x:c>
      <x:c r="N38" s="10" t="str">
        <x:v>Passed</x:v>
      </x:c>
      <x:c r="O38" s="10" t="str">
        <x:v>Codex</x:v>
      </x:c>
      <x:c r="P38" s="10" t="str">
        <x:v>14 Oct 2026 — Password change HTTP 200; old JWT current-user HTTP 401</x:v>
      </x:c>
    </x:row>
    <x:row r="39" ht="66" customHeight="1">
      <x:c r="A39" s="3" t="str">
        <x:v>API-A02</x:v>
      </x:c>
      <x:c r="B39" s="3" t="str">
        <x:v>Failed</x:v>
      </x:c>
      <x:c r="C39" s="3" t="str">
        <x:v>Authentication and sessions</x:v>
      </x:c>
      <x:c r="D39" s="3" t="str">
        <x:v>Password change revokes an existing staff token</x:v>
      </x:c>
      <x:c r="E39" s="3" t="str">
        <x:v>Admin</x:v>
      </x:c>
      <x:c r="F39" s="3" t="str">
        <x:v>Isolated API test</x:v>
      </x:c>
      <x:c r="G39" s="3" t="str">
        <x:v>Retain a staff access token, change password, replay the retained token</x:v>
      </x:c>
      <x:c r="H39" s="3" t="str"/>
      <x:c r="I39" s="3" t="str">
        <x:v>Password changed; old JWT gets HTTP 401</x:v>
      </x:c>
      <x:c r="J39" s="3" t="str">
        <x:v>Password change HTTP 200; old JWT current-user HTTP 200</x:v>
      </x:c>
      <x:c r="K39" s="3" t="str">
        <x:v>B002</x:v>
      </x:c>
      <x:c r="L39" s="3" t="str">
        <x:v>apps/users/authentication.py / views.py:ChangePasswordView</x:v>
      </x:c>
      <x:c r="M39" s="3" t="str">
        <x:v>evidence/api-boundaries.json + api-boundaries.xml</x:v>
      </x:c>
      <x:c r="N39" s="10" t="str">
        <x:v>Passed</x:v>
      </x:c>
      <x:c r="O39" s="10" t="str">
        <x:v>Codex</x:v>
      </x:c>
      <x:c r="P39" s="10" t="str">
        <x:v>14 Oct 2026 — Password change HTTP 200; old JWT current-user HTTP 401</x:v>
      </x:c>
    </x:row>
    <x:row r="40" ht="66" customHeight="1">
      <x:c r="A40" s="3" t="str">
        <x:v>API-A03</x:v>
      </x:c>
      <x:c r="B40" s="3" t="str">
        <x:v>Failed</x:v>
      </x:c>
      <x:c r="C40" s="3" t="str">
        <x:v>Authentication and sessions</x:v>
      </x:c>
      <x:c r="D40" s="3" t="str">
        <x:v>Inactive account cannot obtain a successful login</x:v>
      </x:c>
      <x:c r="E40" s="3" t="str">
        <x:v>Faculty</x:v>
      </x:c>
      <x:c r="F40" s="3" t="str">
        <x:v>Isolated API test</x:v>
      </x:c>
      <x:c r="G40" s="3" t="str">
        <x:v>Deactivate a faculty test user and submit its valid credentials</x:v>
      </x:c>
      <x:c r="H40" s="3" t="str"/>
      <x:c r="I40" s="3" t="str">
        <x:v>HTTP 400/401/403, no access token</x:v>
      </x:c>
      <x:c r="J40" s="3" t="str">
        <x:v>HTTP 200; success=True; token issued=True</x:v>
      </x:c>
      <x:c r="K40" s="3" t="str">
        <x:v>B018</x:v>
      </x:c>
      <x:c r="L40" s="3" t="str">
        <x:v>apps/users/views.py:LoginView</x:v>
      </x:c>
      <x:c r="M40" s="3" t="str">
        <x:v>evidence/api-boundaries.json + api-boundaries.xml</x:v>
      </x:c>
      <x:c r="N40" s="10" t="str">
        <x:v>Passed</x:v>
      </x:c>
      <x:c r="O40" s="10" t="str">
        <x:v>Codex</x:v>
      </x:c>
      <x:c r="P40" s="10" t="str">
        <x:v>14 Oct 2026 — HTTP 400; success=False; token issued=False</x:v>
      </x:c>
    </x:row>
    <x:row r="41" ht="92" customHeight="1">
      <x:c r="A41" s="3" t="str">
        <x:v>API-PR01</x:v>
      </x:c>
      <x:c r="B41" s="3" t="str">
        <x:v>Failed</x:v>
      </x:c>
      <x:c r="C41" s="3" t="str">
        <x:v>Profile</x:v>
      </x:c>
      <x:c r="D41" s="3" t="str">
        <x:v>Profile update cannot reuse another login email</x:v>
      </x:c>
      <x:c r="E41" s="3" t="str">
        <x:v>Faculty</x:v>
      </x:c>
      <x:c r="F41" s="3" t="str">
        <x:v>Isolated API test</x:v>
      </x:c>
      <x:c r="G41" s="3" t="str">
        <x:v>PUT profile with another faculty account's email</x:v>
      </x:c>
      <x:c r="H41" s="3" t="str"/>
      <x:c r="I41" s="3" t="str">
        <x:v>HTTP 400; email remains unique for login</x:v>
      </x:c>
      <x:c r="J41" s="3" t="str">
        <x:v>HTTP 200: {"message": "Profile updated successfully", "user": {"username": "qa_faculty", "profile": {"name": "QA name", "bio": null, "avatar": null, "github": null, "linkedIn": null, "birthday": null, "gender": null, "skills": null, "education": null, "location": null}, "email": "other_faculty@example.test"}, "success": true}</x:v>
      </x:c>
      <x:c r="K41" s="3" t="str">
        <x:v>B004</x:v>
      </x:c>
      <x:c r="L41" s="3" t="str">
        <x:v>apps/users/views.py:UpdateUserView</x:v>
      </x:c>
      <x:c r="M41" s="3" t="str">
        <x:v>evidence/api-boundaries.json + api-boundaries.xml</x:v>
      </x:c>
      <x:c r="N41" s="10" t="str">
        <x:v>Passed</x:v>
      </x:c>
      <x:c r="O41" s="10" t="str">
        <x:v>Codex</x:v>
      </x:c>
      <x:c r="P41" s="10" t="str">
        <x:v>14 Oct 2026 — HTTP 400: {"message": "Invalid profile fields.", "errors": {"email": ["Email already registered."]}, "success": false}</x:v>
      </x:c>
    </x:row>
    <x:row r="42" ht="67" customHeight="1">
      <x:c r="A42" s="3" t="str">
        <x:v>API-PR02</x:v>
      </x:c>
      <x:c r="B42" s="3" t="str">
        <x:v>Failed</x:v>
      </x:c>
      <x:c r="C42" s="3" t="str">
        <x:v>Profile</x:v>
      </x:c>
      <x:c r="D42" s="3" t="str">
        <x:v>Non-image avatar is rejected</x:v>
      </x:c>
      <x:c r="E42" s="3" t="str">
        <x:v>Faculty</x:v>
      </x:c>
      <x:c r="F42" s="3" t="str">
        <x:v>Isolated API test</x:v>
      </x:c>
      <x:c r="G42" s="3" t="str">
        <x:v>POST /api/v1/user/upload-avatar with a text/plain file</x:v>
      </x:c>
      <x:c r="H42" s="3" t="str"/>
      <x:c r="I42" s="3" t="str">
        <x:v>HTTP 400; no replacement of existing avatar</x:v>
      </x:c>
      <x:c r="J42" s="3" t="str">
        <x:v>HTTP 200: {"message": "Avatar uploaded successfully.", "fileId": "92afe611-6b01-4067-9f6b-d613862730fa"}</x:v>
      </x:c>
      <x:c r="K42" s="3" t="str">
        <x:v>B019</x:v>
      </x:c>
      <x:c r="L42" s="3" t="str">
        <x:v>apps/users/views.py:UploadAvatarView</x:v>
      </x:c>
      <x:c r="M42" s="3" t="str">
        <x:v>evidence/api-boundaries.json + api-boundaries.xml</x:v>
      </x:c>
      <x:c r="N42" s="10" t="str">
        <x:v>Passed</x:v>
      </x:c>
      <x:c r="O42" s="10" t="str">
        <x:v>Codex</x:v>
      </x:c>
      <x:c r="P42" s="10" t="str">
        <x:v>14 Oct 2026 — HTTP 400: {"error": "Upload a valid image. The file you uploaded was either not an image or a corrupted image."}</x:v>
      </x:c>
    </x:row>
    <x:row r="43" ht="66" customHeight="1">
      <x:c r="A43" s="3" t="str">
        <x:v>API-PR03</x:v>
      </x:c>
      <x:c r="B43" s="3" t="str">
        <x:v>Failed</x:v>
      </x:c>
      <x:c r="C43" s="3" t="str">
        <x:v>Profile</x:v>
      </x:c>
      <x:c r="D43" s="3" t="str">
        <x:v>PNG avatar is served with matching MIME type</x:v>
      </x:c>
      <x:c r="E43" s="3" t="str">
        <x:v>Faculty</x:v>
      </x:c>
      <x:c r="F43" s="3" t="str">
        <x:v>Isolated API test</x:v>
      </x:c>
      <x:c r="G43" s="3" t="str">
        <x:v>Upload a valid PNG then GET /api/v1/user/profile/upload-avatar</x:v>
      </x:c>
      <x:c r="H43" s="3" t="str"/>
      <x:c r="I43" s="3" t="str">
        <x:v>HTTP 200; Content-Type image/png</x:v>
      </x:c>
      <x:c r="J43" s="3" t="str">
        <x:v>Upload HTTP 200; download Content-Type image/jpeg</x:v>
      </x:c>
      <x:c r="K43" s="3" t="str">
        <x:v>B036</x:v>
      </x:c>
      <x:c r="L43" s="3" t="str">
        <x:v>apps/users/views.py:GetAvatarView</x:v>
      </x:c>
      <x:c r="M43" s="3" t="str">
        <x:v>evidence/api-boundaries.json + api-boundaries.xml</x:v>
      </x:c>
      <x:c r="N43" s="10" t="str">
        <x:v>Passed</x:v>
      </x:c>
      <x:c r="O43" s="10" t="str">
        <x:v>Codex</x:v>
      </x:c>
      <x:c r="P43" s="10" t="str">
        <x:v>14 Oct 2026 — Upload HTTP 200; download Content-Type image/png</x:v>
      </x:c>
    </x:row>
    <x:row r="44" ht="92" customHeight="1">
      <x:c r="A44" s="3" t="str">
        <x:v>API-PR04</x:v>
      </x:c>
      <x:c r="B44" s="3" t="str">
        <x:v>Failed</x:v>
      </x:c>
      <x:c r="C44" s="3" t="str">
        <x:v>Profile</x:v>
      </x:c>
      <x:c r="D44" s="3" t="str">
        <x:v>Invalid profile date or URL is rejected</x:v>
      </x:c>
      <x:c r="E44" s="3" t="str">
        <x:v>Faculty</x:v>
      </x:c>
      <x:c r="F44" s="3" t="str">
        <x:v>Isolated API test</x:v>
      </x:c>
      <x:c r="G44" s="3" t="str">
        <x:v>PUT /api/v1/user/update</x:v>
      </x:c>
      <x:c r="H44" s="3" t="str">
        <x:v>birthday=not-a-date</x:v>
      </x:c>
      <x:c r="I44" s="3" t="str">
        <x:v>HTTP 400 with field validation</x:v>
      </x:c>
      <x:c r="J44" s="3" t="str">
        <x:v>HTTP 200: {"message": "Profile updated successfully", "user": {"username": "qa_faculty", "profile": {"name": "QA name", "bio": null, "avatar": null, "github": null, "linkedIn": null, "birthday": "not-a-date", "gender": null, "skills": null, "education": null, "location": null}, "email": "faculty@example.test"}, "success": true}</x:v>
      </x:c>
      <x:c r="K44" s="3" t="str">
        <x:v>B020</x:v>
      </x:c>
      <x:c r="L44" s="3" t="str">
        <x:v>apps/users/serializers.py:UpdateProfileSerializer</x:v>
      </x:c>
      <x:c r="M44" s="3" t="str">
        <x:v>evidence/api-boundaries.json + api-boundaries.xml</x:v>
      </x:c>
      <x:c r="N44" s="10" t="str">
        <x:v>Passed</x:v>
      </x:c>
      <x:c r="O44" s="10" t="str">
        <x:v>Codex</x:v>
      </x:c>
      <x:c r="P44" s="10" t="str">
        <x:v>14 Oct 2026 — HTTP 400: {"message": "Invalid profile fields.", "errors": {"birthday": ["Birthday must be a valid YYYY-MM-DD date."]}, "success": false}</x:v>
      </x:c>
    </x:row>
    <x:row r="45" ht="92" customHeight="1">
      <x:c r="A45" s="3" t="str">
        <x:v>API-PR05</x:v>
      </x:c>
      <x:c r="B45" s="3" t="str">
        <x:v>Failed</x:v>
      </x:c>
      <x:c r="C45" s="3" t="str">
        <x:v>Profile</x:v>
      </x:c>
      <x:c r="D45" s="3" t="str">
        <x:v>Invalid profile date or URL is rejected</x:v>
      </x:c>
      <x:c r="E45" s="3" t="str">
        <x:v>Faculty</x:v>
      </x:c>
      <x:c r="F45" s="3" t="str">
        <x:v>Isolated API test</x:v>
      </x:c>
      <x:c r="G45" s="3" t="str">
        <x:v>PUT /api/v1/user/update</x:v>
      </x:c>
      <x:c r="H45" s="3" t="str">
        <x:v>linkedIn=javascript:alert(1)</x:v>
      </x:c>
      <x:c r="I45" s="3" t="str">
        <x:v>HTTP 400 with field validation</x:v>
      </x:c>
      <x:c r="J45" s="3" t="str">
        <x:v>HTTP 200: {"message": "Profile updated successfully", "user": {"username": "qa_faculty", "profile": {"name": "QA name", "bio": null, "avatar": null, "github": null, "linkedIn": "javascript:alert(1)", "birthday": null, "gender": null, "skills": null, "education": null, "location": null}, "email": "faculty@example.test"}, "success": true}</x:v>
      </x:c>
      <x:c r="K45" s="3" t="str">
        <x:v>B020</x:v>
      </x:c>
      <x:c r="L45" s="3" t="str">
        <x:v>apps/users/serializers.py:UpdateProfileSerializer</x:v>
      </x:c>
      <x:c r="M45" s="3" t="str">
        <x:v>evidence/api-boundaries.json + api-boundaries.xml</x:v>
      </x:c>
      <x:c r="N45" s="10" t="str">
        <x:v>Passed</x:v>
      </x:c>
      <x:c r="O45" s="10" t="str">
        <x:v>Codex</x:v>
      </x:c>
      <x:c r="P45" s="10" t="str">
        <x:v>14 Oct 2026 — HTTP 400: {"message": "Invalid profile fields.", "errors": {"linkedIn": ["Enter a valid http or https URL."]}, "success": false}</x:v>
      </x:c>
    </x:row>
    <x:row r="46" ht="67" customHeight="1">
      <x:c r="A46" s="3" t="str">
        <x:v>API-PG01</x:v>
      </x:c>
      <x:c r="B46" s="3" t="str">
        <x:v>Passed</x:v>
      </x:c>
      <x:c r="C46" s="3" t="str">
        <x:v>Pagination and filters</x:v>
      </x:c>
      <x:c r="D46" s="3" t="str">
        <x:v>Invalid pagination never causes server error</x:v>
      </x:c>
      <x:c r="E46" s="3" t="str">
        <x:v>Admin</x:v>
      </x:c>
      <x:c r="F46" s="3" t="str">
        <x:v>Isolated API test</x:v>
      </x:c>
      <x:c r="G46" s="3" t="str">
        <x:v>Request admin-get-pending-users with malformed pagination</x:v>
      </x:c>
      <x:c r="H46" s="3" t="str">
        <x:v>{"limit": 0}</x:v>
      </x:c>
      <x:c r="I46" s="3" t="str">
        <x:v>HTTP 400 validation or safe bounded HTTP 200</x:v>
      </x:c>
      <x:c r="J46" s="3" t="str">
        <x:v>HTTP 200: {"success": true, "message": "No pending users found", "data": [], "totalPages": 0, "totalUsers": 0}</x:v>
      </x:c>
      <x:c r="K46" s="3" t="str">
        <x:v>B013</x:v>
      </x:c>
      <x:c r="L46" s="3" t="str">
        <x:v>apps/users/views_admin.py / apps/submissions/views.py</x:v>
      </x:c>
      <x:c r="M46" s="3" t="str">
        <x:v>evidence/api-boundaries.json + api-boundaries.xml</x:v>
      </x:c>
      <x:c r="N46" s="10" t="str">
        <x:v>Passed</x:v>
      </x:c>
      <x:c r="O46" s="10" t="str">
        <x:v>Codex</x:v>
      </x:c>
      <x:c r="P46" s="10" t="str">
        <x:v>14 Oct 2026 — HTTP 200: {"success": true, "message": "No pending users found", "data": [], "totalPages": 0, "totalUsers": 0}</x:v>
      </x:c>
    </x:row>
    <x:row r="47" ht="67" customHeight="1">
      <x:c r="A47" s="3" t="str">
        <x:v>API-PG02</x:v>
      </x:c>
      <x:c r="B47" s="3" t="str">
        <x:v>Failed</x:v>
      </x:c>
      <x:c r="C47" s="3" t="str">
        <x:v>Pagination and filters</x:v>
      </x:c>
      <x:c r="D47" s="3" t="str">
        <x:v>Invalid pagination never causes server error</x:v>
      </x:c>
      <x:c r="E47" s="3" t="str">
        <x:v>Admin</x:v>
      </x:c>
      <x:c r="F47" s="3" t="str">
        <x:v>Isolated API test</x:v>
      </x:c>
      <x:c r="G47" s="3" t="str">
        <x:v>Request admin-get-faculty-by-admin with malformed pagination</x:v>
      </x:c>
      <x:c r="H47" s="3" t="str">
        <x:v>{"page": "bad"}</x:v>
      </x:c>
      <x:c r="I47" s="3" t="str">
        <x:v>HTTP 400 validation or safe bounded HTTP 200</x:v>
      </x:c>
      <x:c r="J47" s="3" t="str">
        <x:v>HTTP 500: "Server error"</x:v>
      </x:c>
      <x:c r="K47" s="3" t="str">
        <x:v>B013</x:v>
      </x:c>
      <x:c r="L47" s="3" t="str">
        <x:v>apps/users/views_admin.py / apps/submissions/views.py</x:v>
      </x:c>
      <x:c r="M47" s="3" t="str">
        <x:v>evidence/api-boundaries.json + api-boundaries.xml</x:v>
      </x:c>
      <x:c r="N47" s="10" t="str">
        <x:v>Passed</x:v>
      </x:c>
      <x:c r="O47" s="10" t="str">
        <x:v>Codex</x:v>
      </x:c>
      <x:c r="P47" s="10" t="str">
        <x:v>14 Oct 2026 — HTTP 400: {"success": false, "message": "Page and limit must be positive integers."}</x:v>
      </x:c>
    </x:row>
    <x:row r="48" ht="67" customHeight="1">
      <x:c r="A48" s="3" t="str">
        <x:v>API-PG03</x:v>
      </x:c>
      <x:c r="B48" s="3" t="str">
        <x:v>Failed</x:v>
      </x:c>
      <x:c r="C48" s="3" t="str">
        <x:v>Pagination and filters</x:v>
      </x:c>
      <x:c r="D48" s="3" t="str">
        <x:v>Invalid pagination never causes server error</x:v>
      </x:c>
      <x:c r="E48" s="3" t="str">
        <x:v>Admin</x:v>
      </x:c>
      <x:c r="F48" s="3" t="str">
        <x:v>Isolated API test</x:v>
      </x:c>
      <x:c r="G48" s="3" t="str">
        <x:v>Request admin-users-sessions with malformed pagination</x:v>
      </x:c>
      <x:c r="H48" s="3" t="str">
        <x:v>{"page": -1}</x:v>
      </x:c>
      <x:c r="I48" s="3" t="str">
        <x:v>HTTP 400 validation or safe bounded HTTP 200</x:v>
      </x:c>
      <x:c r="J48" s="3" t="str">
        <x:v>HTTP 500: "Server error"</x:v>
      </x:c>
      <x:c r="K48" s="3" t="str">
        <x:v>B013</x:v>
      </x:c>
      <x:c r="L48" s="3" t="str">
        <x:v>apps/users/views_admin.py / apps/submissions/views.py</x:v>
      </x:c>
      <x:c r="M48" s="3" t="str">
        <x:v>evidence/api-boundaries.json + api-boundaries.xml</x:v>
      </x:c>
      <x:c r="N48" s="10" t="str">
        <x:v>Passed</x:v>
      </x:c>
      <x:c r="O48" s="10" t="str">
        <x:v>Codex</x:v>
      </x:c>
      <x:c r="P48" s="10" t="str">
        <x:v>14 Oct 2026 — HTTP 400: {"success": false, "message": "Page must be positive and limit must be between 1 and 1000."}</x:v>
      </x:c>
    </x:row>
    <x:row r="49" ht="80" customHeight="1">
      <x:c r="A49" s="3" t="str">
        <x:v>API-PG04</x:v>
      </x:c>
      <x:c r="B49" s="3" t="str">
        <x:v>Passed</x:v>
      </x:c>
      <x:c r="C49" s="3" t="str">
        <x:v>Pagination and filters</x:v>
      </x:c>
      <x:c r="D49" s="3" t="str">
        <x:v>Invalid pagination never causes server error</x:v>
      </x:c>
      <x:c r="E49" s="3" t="str">
        <x:v>Admin</x:v>
      </x:c>
      <x:c r="F49" s="3" t="str">
        <x:v>Isolated API test</x:v>
      </x:c>
      <x:c r="G49" s="3" t="str">
        <x:v>Request submissions-user-history with malformed pagination</x:v>
      </x:c>
      <x:c r="H49" s="3" t="str">
        <x:v>{"page": 0}</x:v>
      </x:c>
      <x:c r="I49" s="3" t="str">
        <x:v>HTTP 400 validation or safe bounded HTTP 200</x:v>
      </x:c>
      <x:c r="J49" s="3" t="str">
        <x:v>HTTP 200: {"message": "Submissions retrieved successfully", "submissions": [], "totalSubmissions": 0, "totalPages": 0, "currentPage": 1}</x:v>
      </x:c>
      <x:c r="K49" s="3" t="str">
        <x:v>B013</x:v>
      </x:c>
      <x:c r="L49" s="3" t="str">
        <x:v>apps/users/views_admin.py / apps/submissions/views.py</x:v>
      </x:c>
      <x:c r="M49" s="3" t="str">
        <x:v>evidence/api-boundaries.json + api-boundaries.xml</x:v>
      </x:c>
      <x:c r="N49" s="10" t="str">
        <x:v>Passed</x:v>
      </x:c>
      <x:c r="O49" s="10" t="str">
        <x:v>Codex</x:v>
      </x:c>
      <x:c r="P49" s="10" t="str">
        <x:v>14 Oct 2026 — HTTP 200: {"message": "Submissions retrieved successfully", "submissions": [], "totalSubmissions": 0, "totalPages": 0, "currentPage": 1}</x:v>
      </x:c>
    </x:row>
    <x:row r="50" ht="67" customHeight="1">
      <x:c r="A50" s="3" t="str">
        <x:v>API-AS01</x:v>
      </x:c>
      <x:c r="B50" s="3" t="str">
        <x:v>Failed</x:v>
      </x:c>
      <x:c r="C50" s="3" t="str">
        <x:v>Assessment assignment</x:v>
      </x:c>
      <x:c r="D50" s="3" t="str">
        <x:v>Malformed student assignment IDs are validated</x:v>
      </x:c>
      <x:c r="E50" s="3" t="str">
        <x:v>Faculty</x:v>
      </x:c>
      <x:c r="F50" s="3" t="str">
        <x:v>Isolated API test</x:v>
      </x:c>
      <x:c r="G50" s="3" t="str">
        <x:v>POST assessment student assignment</x:v>
      </x:c>
      <x:c r="H50" s="3" t="str">
        <x:v>{"studentIds": ["not-a-uuid"]}</x:v>
      </x:c>
      <x:c r="I50" s="3" t="str">
        <x:v>HTTP 400, no assignment made</x:v>
      </x:c>
      <x:c r="J50" s="3" t="str">
        <x:v>HTTP 500: "Server error"</x:v>
      </x:c>
      <x:c r="K50" s="3" t="str">
        <x:v>B012</x:v>
      </x:c>
      <x:c r="L50" s="3" t="str">
        <x:v>apps/contests/views.py:AssignContestToStudentsView</x:v>
      </x:c>
      <x:c r="M50" s="3" t="str">
        <x:v>evidence/api-boundaries.json + api-boundaries.xml</x:v>
      </x:c>
      <x:c r="N50" s="10" t="str">
        <x:v>Passed</x:v>
      </x:c>
      <x:c r="O50" s="10" t="str">
        <x:v>Codex</x:v>
      </x:c>
      <x:c r="P50" s="10" t="str">
        <x:v>14 Oct 2026 — HTTP 400: {"success": false, "message": "One or more selected students do not exist."}</x:v>
      </x:c>
    </x:row>
    <x:row r="51" ht="67" customHeight="1">
      <x:c r="A51" s="3" t="str">
        <x:v>API-AS02</x:v>
      </x:c>
      <x:c r="B51" s="3" t="str">
        <x:v>Failed</x:v>
      </x:c>
      <x:c r="C51" s="3" t="str">
        <x:v>Assessment assignment</x:v>
      </x:c>
      <x:c r="D51" s="3" t="str">
        <x:v>Malformed student assignment IDs are validated</x:v>
      </x:c>
      <x:c r="E51" s="3" t="str">
        <x:v>Faculty</x:v>
      </x:c>
      <x:c r="F51" s="3" t="str">
        <x:v>Isolated API test</x:v>
      </x:c>
      <x:c r="G51" s="3" t="str">
        <x:v>POST assessment student assignment</x:v>
      </x:c>
      <x:c r="H51" s="3" t="str">
        <x:v>{"studentIds": [12]}</x:v>
      </x:c>
      <x:c r="I51" s="3" t="str">
        <x:v>HTTP 400, no assignment made</x:v>
      </x:c>
      <x:c r="J51" s="3" t="str">
        <x:v>HTTP 500: "Server error"</x:v>
      </x:c>
      <x:c r="K51" s="3" t="str">
        <x:v>B012</x:v>
      </x:c>
      <x:c r="L51" s="3" t="str">
        <x:v>apps/contests/views.py:AssignContestToStudentsView</x:v>
      </x:c>
      <x:c r="M51" s="3" t="str">
        <x:v>evidence/api-boundaries.json + api-boundaries.xml</x:v>
      </x:c>
      <x:c r="N51" s="10" t="str">
        <x:v>Passed</x:v>
      </x:c>
      <x:c r="O51" s="10" t="str">
        <x:v>Codex</x:v>
      </x:c>
      <x:c r="P51" s="10" t="str">
        <x:v>14 Oct 2026 — HTTP 400: {"success": false, "message": "Each student ID must be a valid UUID or institutional ID."}</x:v>
      </x:c>
    </x:row>
    <x:row r="52" ht="67" customHeight="1">
      <x:c r="A52" s="3" t="str">
        <x:v>API-AS03</x:v>
      </x:c>
      <x:c r="B52" s="3" t="str">
        <x:v>Failed</x:v>
      </x:c>
      <x:c r="C52" s="3" t="str">
        <x:v>Assessment assignment</x:v>
      </x:c>
      <x:c r="D52" s="3" t="str">
        <x:v>Malformed student assignment IDs are validated</x:v>
      </x:c>
      <x:c r="E52" s="3" t="str">
        <x:v>Faculty</x:v>
      </x:c>
      <x:c r="F52" s="3" t="str">
        <x:v>Isolated API test</x:v>
      </x:c>
      <x:c r="G52" s="3" t="str">
        <x:v>POST assessment student assignment</x:v>
      </x:c>
      <x:c r="H52" s="3" t="str">
        <x:v>{"studentIds": [null]}</x:v>
      </x:c>
      <x:c r="I52" s="3" t="str">
        <x:v>HTTP 400, no assignment made</x:v>
      </x:c>
      <x:c r="J52" s="3" t="str">
        <x:v>HTTP 500: "Server error"</x:v>
      </x:c>
      <x:c r="K52" s="3" t="str">
        <x:v>B012</x:v>
      </x:c>
      <x:c r="L52" s="3" t="str">
        <x:v>apps/contests/views.py:AssignContestToStudentsView</x:v>
      </x:c>
      <x:c r="M52" s="3" t="str">
        <x:v>evidence/api-boundaries.json + api-boundaries.xml</x:v>
      </x:c>
      <x:c r="N52" s="10" t="str">
        <x:v>Passed</x:v>
      </x:c>
      <x:c r="O52" s="10" t="str">
        <x:v>Codex</x:v>
      </x:c>
      <x:c r="P52" s="10" t="str">
        <x:v>14 Oct 2026 — HTTP 400: {"success": false, "message": "Each student ID must be a valid UUID or institutional ID."}</x:v>
      </x:c>
    </x:row>
    <x:row r="53" ht="67" customHeight="1">
      <x:c r="A53" s="3" t="str">
        <x:v>API-E06</x:v>
      </x:c>
      <x:c r="B53" s="3" t="str">
        <x:v>Failed</x:v>
      </x:c>
      <x:c r="C53" s="3" t="str">
        <x:v>Code execution and grading</x:v>
      </x:c>
      <x:c r="D53" s="3" t="str">
        <x:v>Judge0 failure status with empty expected output cannot pass</x:v>
      </x:c>
      <x:c r="E53" s="3" t="str">
        <x:v>Faculty</x:v>
      </x:c>
      <x:c r="F53" s="3" t="str">
        <x:v>Isolated API test</x:v>
      </x:c>
      <x:c r="G53" s="3" t="str">
        <x:v>Return a non-accepted Judge0 status with empty stdout and an empty expected output</x:v>
      </x:c>
      <x:c r="H53" s="3" t="str"/>
      <x:c r="I53" s="3" t="str">
        <x:v>passed=False; marks=0 for every status other than accepted</x:v>
      </x:c>
      <x:c r="J53" s="3" t="str">
        <x:v>{"judge_status": 6, "passed": true, "marks": 10, "error": null}</x:v>
      </x:c>
      <x:c r="K53" s="3" t="str">
        <x:v>B007</x:v>
      </x:c>
      <x:c r="L53" s="3" t="str">
        <x:v>apps/execution/services.py:fetch_result / execute_test_cases</x:v>
      </x:c>
      <x:c r="M53" s="3" t="str">
        <x:v>evidence/api-boundaries.json + api-boundaries.xml</x:v>
      </x:c>
      <x:c r="N53" s="10" t="str">
        <x:v>Passed</x:v>
      </x:c>
      <x:c r="O53" s="10" t="str">
        <x:v>Codex</x:v>
      </x:c>
      <x:c r="P53" s="10" t="str">
        <x:v>14 Oct 2026 — {"judge_status": 6, "passed": false, "marks": 0, "error": "Non-accepted execution"}</x:v>
      </x:c>
    </x:row>
    <x:row r="54" ht="67" customHeight="1">
      <x:c r="A54" s="3" t="str">
        <x:v>API-E07</x:v>
      </x:c>
      <x:c r="B54" s="3" t="str">
        <x:v>Failed</x:v>
      </x:c>
      <x:c r="C54" s="3" t="str">
        <x:v>Code execution and grading</x:v>
      </x:c>
      <x:c r="D54" s="3" t="str">
        <x:v>Judge0 failure status with empty expected output cannot pass</x:v>
      </x:c>
      <x:c r="E54" s="3" t="str">
        <x:v>Faculty</x:v>
      </x:c>
      <x:c r="F54" s="3" t="str">
        <x:v>Isolated API test</x:v>
      </x:c>
      <x:c r="G54" s="3" t="str">
        <x:v>Return a non-accepted Judge0 status with empty stdout and an empty expected output</x:v>
      </x:c>
      <x:c r="H54" s="3" t="str"/>
      <x:c r="I54" s="3" t="str">
        <x:v>passed=False; marks=0 for every status other than accepted</x:v>
      </x:c>
      <x:c r="J54" s="3" t="str">
        <x:v>{"judge_status": 7, "passed": true, "marks": 10, "error": null}</x:v>
      </x:c>
      <x:c r="K54" s="3" t="str">
        <x:v>B007</x:v>
      </x:c>
      <x:c r="L54" s="3" t="str">
        <x:v>apps/execution/services.py:fetch_result / execute_test_cases</x:v>
      </x:c>
      <x:c r="M54" s="3" t="str">
        <x:v>evidence/api-boundaries.json + api-boundaries.xml</x:v>
      </x:c>
      <x:c r="N54" s="10" t="str">
        <x:v>Passed</x:v>
      </x:c>
      <x:c r="O54" s="10" t="str">
        <x:v>Codex</x:v>
      </x:c>
      <x:c r="P54" s="10" t="str">
        <x:v>14 Oct 2026 — {"judge_status": 7, "passed": false, "marks": 0, "error": "Non-accepted execution"}</x:v>
      </x:c>
    </x:row>
    <x:row r="55" ht="67" customHeight="1">
      <x:c r="A55" s="3" t="str">
        <x:v>API-E08</x:v>
      </x:c>
      <x:c r="B55" s="3" t="str">
        <x:v>Failed</x:v>
      </x:c>
      <x:c r="C55" s="3" t="str">
        <x:v>Code execution and grading</x:v>
      </x:c>
      <x:c r="D55" s="3" t="str">
        <x:v>Judge0 failure status with empty expected output cannot pass</x:v>
      </x:c>
      <x:c r="E55" s="3" t="str">
        <x:v>Faculty</x:v>
      </x:c>
      <x:c r="F55" s="3" t="str">
        <x:v>Isolated API test</x:v>
      </x:c>
      <x:c r="G55" s="3" t="str">
        <x:v>Return a non-accepted Judge0 status with empty stdout and an empty expected output</x:v>
      </x:c>
      <x:c r="H55" s="3" t="str"/>
      <x:c r="I55" s="3" t="str">
        <x:v>passed=False; marks=0 for every status other than accepted</x:v>
      </x:c>
      <x:c r="J55" s="3" t="str">
        <x:v>{"judge_status": 8, "passed": true, "marks": 10, "error": null}</x:v>
      </x:c>
      <x:c r="K55" s="3" t="str">
        <x:v>B007</x:v>
      </x:c>
      <x:c r="L55" s="3" t="str">
        <x:v>apps/execution/services.py:fetch_result / execute_test_cases</x:v>
      </x:c>
      <x:c r="M55" s="3" t="str">
        <x:v>evidence/api-boundaries.json + api-boundaries.xml</x:v>
      </x:c>
      <x:c r="N55" s="10" t="str">
        <x:v>Passed</x:v>
      </x:c>
      <x:c r="O55" s="10" t="str">
        <x:v>Codex</x:v>
      </x:c>
      <x:c r="P55" s="10" t="str">
        <x:v>14 Oct 2026 — {"judge_status": 8, "passed": false, "marks": 0, "error": "Non-accepted execution"}</x:v>
      </x:c>
    </x:row>
    <x:row r="56" ht="67" customHeight="1">
      <x:c r="A56" s="3" t="str">
        <x:v>API-E11</x:v>
      </x:c>
      <x:c r="B56" s="3" t="str">
        <x:v>Failed</x:v>
      </x:c>
      <x:c r="C56" s="3" t="str">
        <x:v>Code execution and grading</x:v>
      </x:c>
      <x:c r="D56" s="3" t="str">
        <x:v>Judge0 failure status with empty expected output cannot pass</x:v>
      </x:c>
      <x:c r="E56" s="3" t="str">
        <x:v>Faculty</x:v>
      </x:c>
      <x:c r="F56" s="3" t="str">
        <x:v>Isolated API test</x:v>
      </x:c>
      <x:c r="G56" s="3" t="str">
        <x:v>Return a non-accepted Judge0 status with empty stdout and an empty expected output</x:v>
      </x:c>
      <x:c r="H56" s="3" t="str"/>
      <x:c r="I56" s="3" t="str">
        <x:v>passed=False; marks=0 for every status other than accepted</x:v>
      </x:c>
      <x:c r="J56" s="3" t="str">
        <x:v>{"judge_status": 11, "passed": true, "marks": 10, "error": null}</x:v>
      </x:c>
      <x:c r="K56" s="3" t="str">
        <x:v>B007</x:v>
      </x:c>
      <x:c r="L56" s="3" t="str">
        <x:v>apps/execution/services.py:fetch_result / execute_test_cases</x:v>
      </x:c>
      <x:c r="M56" s="3" t="str">
        <x:v>evidence/api-boundaries.json + api-boundaries.xml</x:v>
      </x:c>
      <x:c r="N56" s="10" t="str">
        <x:v>Passed</x:v>
      </x:c>
      <x:c r="O56" s="10" t="str">
        <x:v>Codex</x:v>
      </x:c>
      <x:c r="P56" s="10" t="str">
        <x:v>14 Oct 2026 — {"judge_status": 11, "passed": false, "marks": 0, "error": "Non-accepted execution"}</x:v>
      </x:c>
    </x:row>
    <x:row r="57" ht="67" customHeight="1">
      <x:c r="A57" s="3" t="str">
        <x:v>API-E12</x:v>
      </x:c>
      <x:c r="B57" s="3" t="str">
        <x:v>Failed</x:v>
      </x:c>
      <x:c r="C57" s="3" t="str">
        <x:v>Code execution and grading</x:v>
      </x:c>
      <x:c r="D57" s="3" t="str">
        <x:v>Judge0 failure status with empty expected output cannot pass</x:v>
      </x:c>
      <x:c r="E57" s="3" t="str">
        <x:v>Faculty</x:v>
      </x:c>
      <x:c r="F57" s="3" t="str">
        <x:v>Isolated API test</x:v>
      </x:c>
      <x:c r="G57" s="3" t="str">
        <x:v>Return a non-accepted Judge0 status with empty stdout and an empty expected output</x:v>
      </x:c>
      <x:c r="H57" s="3" t="str"/>
      <x:c r="I57" s="3" t="str">
        <x:v>passed=False; marks=0 for every status other than accepted</x:v>
      </x:c>
      <x:c r="J57" s="3" t="str">
        <x:v>{"judge_status": 12, "passed": true, "marks": 10, "error": null}</x:v>
      </x:c>
      <x:c r="K57" s="3" t="str">
        <x:v>B007</x:v>
      </x:c>
      <x:c r="L57" s="3" t="str">
        <x:v>apps/execution/services.py:fetch_result / execute_test_cases</x:v>
      </x:c>
      <x:c r="M57" s="3" t="str">
        <x:v>evidence/api-boundaries.json + api-boundaries.xml</x:v>
      </x:c>
      <x:c r="N57" s="10" t="str">
        <x:v>Passed</x:v>
      </x:c>
      <x:c r="O57" s="10" t="str">
        <x:v>Codex</x:v>
      </x:c>
      <x:c r="P57" s="10" t="str">
        <x:v>14 Oct 2026 — {"judge_status": 12, "passed": false, "marks": 0, "error": "Non-accepted execution"}</x:v>
      </x:c>
    </x:row>
    <x:row r="58" ht="67" customHeight="1">
      <x:c r="A58" s="3" t="str">
        <x:v>API-E13</x:v>
      </x:c>
      <x:c r="B58" s="3" t="str">
        <x:v>Failed</x:v>
      </x:c>
      <x:c r="C58" s="3" t="str">
        <x:v>Code execution and grading</x:v>
      </x:c>
      <x:c r="D58" s="3" t="str">
        <x:v>Judge0 failure status with empty expected output cannot pass</x:v>
      </x:c>
      <x:c r="E58" s="3" t="str">
        <x:v>Faculty</x:v>
      </x:c>
      <x:c r="F58" s="3" t="str">
        <x:v>Isolated API test</x:v>
      </x:c>
      <x:c r="G58" s="3" t="str">
        <x:v>Return a non-accepted Judge0 status with empty stdout and an empty expected output</x:v>
      </x:c>
      <x:c r="H58" s="3" t="str"/>
      <x:c r="I58" s="3" t="str">
        <x:v>passed=False; marks=0 for every status other than accepted</x:v>
      </x:c>
      <x:c r="J58" s="3" t="str">
        <x:v>{"judge_status": 13, "passed": true, "marks": 10, "error": null}</x:v>
      </x:c>
      <x:c r="K58" s="3" t="str">
        <x:v>B007</x:v>
      </x:c>
      <x:c r="L58" s="3" t="str">
        <x:v>apps/execution/services.py:fetch_result / execute_test_cases</x:v>
      </x:c>
      <x:c r="M58" s="3" t="str">
        <x:v>evidence/api-boundaries.json + api-boundaries.xml</x:v>
      </x:c>
      <x:c r="N58" s="10" t="str">
        <x:v>Passed</x:v>
      </x:c>
      <x:c r="O58" s="10" t="str">
        <x:v>Codex</x:v>
      </x:c>
      <x:c r="P58" s="10" t="str">
        <x:v>14 Oct 2026 — {"judge_status": 13, "passed": false, "marks": 0, "error": "Non-accepted execution"}</x:v>
      </x:c>
    </x:row>
    <x:row r="59" ht="67" customHeight="1">
      <x:c r="A59" s="3" t="str">
        <x:v>API-R01</x:v>
      </x:c>
      <x:c r="B59" s="3" t="str">
        <x:v>Passed</x:v>
      </x:c>
      <x:c r="C59" s="3" t="str">
        <x:v>Role permissions</x:v>
      </x:c>
      <x:c r="D59" s="3" t="str">
        <x:v>Student/faculty cannot open higher-privilege API</x:v>
      </x:c>
      <x:c r="E59" s="3" t="str">
        <x:v>Student</x:v>
      </x:c>
      <x:c r="F59" s="3" t="str">
        <x:v>Isolated API test</x:v>
      </x:c>
      <x:c r="G59" s="3" t="str">
        <x:v>GET admin-get-pending-users</x:v>
      </x:c>
      <x:c r="H59" s="3" t="str"/>
      <x:c r="I59" s="3" t="str">
        <x:v>HTTP 403</x:v>
      </x:c>
      <x:c r="J59" s="3" t="str">
        <x:v>HTTP 403: {"success": false, "message": "You do not have permission to perform this action."}</x:v>
      </x:c>
      <x:c r="K59" s="3" t="str"/>
      <x:c r="L59" s="3" t="str">
        <x:v>apps/users/permissions.py</x:v>
      </x:c>
      <x:c r="M59" s="3" t="str">
        <x:v>evidence/api-boundaries.json + api-boundaries.xml</x:v>
      </x:c>
      <x:c r="N59" s="10" t="str">
        <x:v>Passed</x:v>
      </x:c>
      <x:c r="O59" s="10" t="str">
        <x:v>Codex</x:v>
      </x:c>
      <x:c r="P59" s="10" t="str">
        <x:v>14 Oct 2026 — HTTP 403: {"success": false, "message": "You do not have permission to perform this action."}</x:v>
      </x:c>
    </x:row>
    <x:row r="60" ht="67" customHeight="1">
      <x:c r="A60" s="3" t="str">
        <x:v>API-R02</x:v>
      </x:c>
      <x:c r="B60" s="3" t="str">
        <x:v>Passed</x:v>
      </x:c>
      <x:c r="C60" s="3" t="str">
        <x:v>Role permissions</x:v>
      </x:c>
      <x:c r="D60" s="3" t="str">
        <x:v>Student/faculty cannot open higher-privilege API</x:v>
      </x:c>
      <x:c r="E60" s="3" t="str">
        <x:v>Student</x:v>
      </x:c>
      <x:c r="F60" s="3" t="str">
        <x:v>Isolated API test</x:v>
      </x:c>
      <x:c r="G60" s="3" t="str">
        <x:v>GET faculty-get-students</x:v>
      </x:c>
      <x:c r="H60" s="3" t="str"/>
      <x:c r="I60" s="3" t="str">
        <x:v>HTTP 403</x:v>
      </x:c>
      <x:c r="J60" s="3" t="str">
        <x:v>HTTP 403: {"success": false, "message": "You do not have permission to perform this action."}</x:v>
      </x:c>
      <x:c r="K60" s="3" t="str"/>
      <x:c r="L60" s="3" t="str">
        <x:v>apps/users/permissions.py</x:v>
      </x:c>
      <x:c r="M60" s="3" t="str">
        <x:v>evidence/api-boundaries.json + api-boundaries.xml</x:v>
      </x:c>
      <x:c r="N60" s="10" t="str">
        <x:v>Passed</x:v>
      </x:c>
      <x:c r="O60" s="10" t="str">
        <x:v>Codex</x:v>
      </x:c>
      <x:c r="P60" s="10" t="str">
        <x:v>14 Oct 2026 — HTTP 403: {"success": false, "message": "You do not have permission to perform this action."}</x:v>
      </x:c>
    </x:row>
    <x:row r="61" ht="67" customHeight="1">
      <x:c r="A61" s="3" t="str">
        <x:v>API-R03</x:v>
      </x:c>
      <x:c r="B61" s="3" t="str">
        <x:v>Passed</x:v>
      </x:c>
      <x:c r="C61" s="3" t="str">
        <x:v>Role permissions</x:v>
      </x:c>
      <x:c r="D61" s="3" t="str">
        <x:v>Student/faculty cannot open higher-privilege API</x:v>
      </x:c>
      <x:c r="E61" s="3" t="str">
        <x:v>Faculty</x:v>
      </x:c>
      <x:c r="F61" s="3" t="str">
        <x:v>Isolated API test</x:v>
      </x:c>
      <x:c r="G61" s="3" t="str">
        <x:v>GET admin-users-sessions</x:v>
      </x:c>
      <x:c r="H61" s="3" t="str"/>
      <x:c r="I61" s="3" t="str">
        <x:v>HTTP 403</x:v>
      </x:c>
      <x:c r="J61" s="3" t="str">
        <x:v>HTTP 403: {"success": false, "message": "You do not have permission to perform this action."}</x:v>
      </x:c>
      <x:c r="K61" s="3" t="str"/>
      <x:c r="L61" s="3" t="str">
        <x:v>apps/users/permissions.py</x:v>
      </x:c>
      <x:c r="M61" s="3" t="str">
        <x:v>evidence/api-boundaries.json + api-boundaries.xml</x:v>
      </x:c>
      <x:c r="N61" s="10" t="str">
        <x:v>Passed</x:v>
      </x:c>
      <x:c r="O61" s="10" t="str">
        <x:v>Codex</x:v>
      </x:c>
      <x:c r="P61" s="10" t="str">
        <x:v>14 Oct 2026 — HTTP 403: {"success": false, "message": "You do not have permission to perform this action."}</x:v>
      </x:c>
    </x:row>
    <x:row r="62" ht="67" customHeight="1">
      <x:c r="A62" s="3" t="str">
        <x:v>API-LB01</x:v>
      </x:c>
      <x:c r="B62" s="3" t="str">
        <x:v>Failed</x:v>
      </x:c>
      <x:c r="C62" s="3" t="str">
        <x:v>Rankings and exports</x:v>
      </x:c>
      <x:c r="D62" s="3" t="str">
        <x:v>Highest score retains rank 1 when display sorting changes</x:v>
      </x:c>
      <x:c r="E62" s="3" t="str">
        <x:v>Faculty</x:v>
      </x:c>
      <x:c r="F62" s="3" t="str">
        <x:v>Isolated API test</x:v>
      </x:c>
      <x:c r="G62" s="3" t="str">
        <x:v>Create assigned students scoring 20 and 5; request leaderboard sorted ascending by score or student ID</x:v>
      </x:c>
      <x:c r="H62" s="3" t="str">
        <x:v>sortBy=totalMarks; sortOrder=asc</x:v>
      </x:c>
      <x:c r="I62" s="3" t="str">
        <x:v>20-mark student rank=1 regardless of ascending score/ID display order</x:v>
      </x:c>
      <x:c r="J62" s="3" t="str">
        <x:v>[{"rank": 1, "studentId": "aaa001", "totalMarks": 5}, {"rank": 2, "studentId": "qa22it001", "totalMarks": 20}]</x:v>
      </x:c>
      <x:c r="K62" s="3" t="str">
        <x:v>B021</x:v>
      </x:c>
      <x:c r="L62" s="3" t="str">
        <x:v>apps/contests/views.py:ContestDashboardView</x:v>
      </x:c>
      <x:c r="M62" s="3" t="str">
        <x:v>evidence/api-boundaries.json + api-boundaries.xml</x:v>
      </x:c>
      <x:c r="N62" s="10" t="str">
        <x:v>Passed</x:v>
      </x:c>
      <x:c r="O62" s="10" t="str">
        <x:v>Codex</x:v>
      </x:c>
      <x:c r="P62" s="10" t="str">
        <x:v>14 Oct 2026 — [{"rank": 2, "studentId": "aaa001", "totalMarks": 5}, {"rank": 1, "studentId": "qa22it001", "totalMarks": 20}]</x:v>
      </x:c>
    </x:row>
    <x:row r="63" ht="67" customHeight="1">
      <x:c r="A63" s="3" t="str">
        <x:v>API-LB02</x:v>
      </x:c>
      <x:c r="B63" s="3" t="str">
        <x:v>Failed</x:v>
      </x:c>
      <x:c r="C63" s="3" t="str">
        <x:v>Rankings and exports</x:v>
      </x:c>
      <x:c r="D63" s="3" t="str">
        <x:v>Highest score retains rank 1 when display sorting changes</x:v>
      </x:c>
      <x:c r="E63" s="3" t="str">
        <x:v>Faculty</x:v>
      </x:c>
      <x:c r="F63" s="3" t="str">
        <x:v>Isolated API test</x:v>
      </x:c>
      <x:c r="G63" s="3" t="str">
        <x:v>Create assigned students scoring 20 and 5; request leaderboard sorted ascending by score or student ID</x:v>
      </x:c>
      <x:c r="H63" s="3" t="str">
        <x:v>sortBy=studentId; sortOrder=asc</x:v>
      </x:c>
      <x:c r="I63" s="3" t="str">
        <x:v>20-mark student rank=1 regardless of ascending score/ID display order</x:v>
      </x:c>
      <x:c r="J63" s="3" t="str">
        <x:v>[{"rank": 1, "studentId": "aaa001", "totalMarks": 5}, {"rank": 2, "studentId": "qa22it001", "totalMarks": 20}]</x:v>
      </x:c>
      <x:c r="K63" s="3" t="str">
        <x:v>B021</x:v>
      </x:c>
      <x:c r="L63" s="3" t="str">
        <x:v>apps/contests/views.py:ContestDashboardView</x:v>
      </x:c>
      <x:c r="M63" s="3" t="str">
        <x:v>evidence/api-boundaries.json + api-boundaries.xml</x:v>
      </x:c>
      <x:c r="N63" s="10" t="str">
        <x:v>Passed</x:v>
      </x:c>
      <x:c r="O63" s="10" t="str">
        <x:v>Codex</x:v>
      </x:c>
      <x:c r="P63" s="10" t="str">
        <x:v>14 Oct 2026 — [{"rank": 2, "studentId": "aaa001", "totalMarks": 5}, {"rank": 1, "studentId": "qa22it001", "totalMarks": 20}]</x:v>
      </x:c>
    </x:row>
    <x:row r="64" ht="66" customHeight="1">
      <x:c r="A64" s="3" t="str">
        <x:v>API-A04</x:v>
      </x:c>
      <x:c r="B64" s="3" t="str">
        <x:v>Failed</x:v>
      </x:c>
      <x:c r="C64" s="3" t="str">
        <x:v>Authentication and sessions</x:v>
      </x:c>
      <x:c r="D64" s="3" t="str">
        <x:v>First-login password cannot be derived from public ID/email</x:v>
      </x:c>
      <x:c r="E64" s="3" t="str">
        <x:v>Faculty</x:v>
      </x:c>
      <x:c r="F64" s="3" t="str">
        <x:v>Isolated API test</x:v>
      </x:c>
      <x:c r="G64" s="3" t="str">
        <x:v>Approve a new account; check whether its password equals the student ID or faculty email prefix</x:v>
      </x:c>
      <x:c r="H64" s="3" t="str"/>
      <x:c r="I64" s="3" t="str">
        <x:v>Approval requires an unpredictable one-time invitation credential</x:v>
      </x:c>
      <x:c r="J64" s="3" t="str">
        <x:v>Approval HTTP 200; stored password matches public identifier=True</x:v>
      </x:c>
      <x:c r="K64" s="3" t="str">
        <x:v>B003</x:v>
      </x:c>
      <x:c r="L64" s="3" t="str">
        <x:v>apps/users/views_admin.py / views_faculty.py:accept request</x:v>
      </x:c>
      <x:c r="M64" s="3" t="str">
        <x:v>evidence/api-boundaries.json + api-boundaries.xml</x:v>
      </x:c>
      <x:c r="N64" s="10" t="str">
        <x:v>Passed</x:v>
      </x:c>
      <x:c r="O64" s="10" t="str">
        <x:v>Codex</x:v>
      </x:c>
      <x:c r="P64" s="10" t="str">
        <x:v>14 Oct 2026 — Approval HTTP 200; stored password matches public identifier=False</x:v>
      </x:c>
    </x:row>
    <x:row r="65" ht="66" customHeight="1">
      <x:c r="A65" s="3" t="str">
        <x:v>API-A05</x:v>
      </x:c>
      <x:c r="B65" s="3" t="str">
        <x:v>Failed</x:v>
      </x:c>
      <x:c r="C65" s="3" t="str">
        <x:v>Authentication and sessions</x:v>
      </x:c>
      <x:c r="D65" s="3" t="str">
        <x:v>First-login password cannot be derived from public ID/email</x:v>
      </x:c>
      <x:c r="E65" s="3" t="str">
        <x:v>Student</x:v>
      </x:c>
      <x:c r="F65" s="3" t="str">
        <x:v>Isolated API test</x:v>
      </x:c>
      <x:c r="G65" s="3" t="str">
        <x:v>Approve a new account; check whether its password equals the student ID or faculty email prefix</x:v>
      </x:c>
      <x:c r="H65" s="3" t="str"/>
      <x:c r="I65" s="3" t="str">
        <x:v>Approval requires an unpredictable one-time invitation credential</x:v>
      </x:c>
      <x:c r="J65" s="3" t="str">
        <x:v>Approval HTTP 200; stored password matches public identifier=True</x:v>
      </x:c>
      <x:c r="K65" s="3" t="str">
        <x:v>B003</x:v>
      </x:c>
      <x:c r="L65" s="3" t="str">
        <x:v>apps/users/views_admin.py / views_faculty.py:accept request</x:v>
      </x:c>
      <x:c r="M65" s="3" t="str">
        <x:v>evidence/api-boundaries.json + api-boundaries.xml</x:v>
      </x:c>
      <x:c r="N65" s="10" t="str">
        <x:v>Passed</x:v>
      </x:c>
      <x:c r="O65" s="10" t="str">
        <x:v>Codex</x:v>
      </x:c>
      <x:c r="P65" s="10" t="str">
        <x:v>14 Oct 2026 — Approval HTTP 200; stored password matches public identifier=False</x:v>
      </x:c>
    </x:row>
    <x:row r="66" ht="66" customHeight="1">
      <x:c r="A66" s="3" t="str">
        <x:v>API-A06</x:v>
      </x:c>
      <x:c r="B66" s="3" t="str">
        <x:v>Failed</x:v>
      </x:c>
      <x:c r="C66" s="3" t="str">
        <x:v>Authentication and sessions</x:v>
      </x:c>
      <x:c r="D66" s="3" t="str">
        <x:v>Invalid or expired cookies do not prevent logout</x:v>
      </x:c>
      <x:c r="E66" s="3" t="str">
        <x:v>Faculty</x:v>
      </x:c>
      <x:c r="F66" s="3" t="str">
        <x:v>Isolated API test</x:v>
      </x:c>
      <x:c r="G66" s="3" t="str">
        <x:v>Place an expired test JWT in the token cookie and POST logout</x:v>
      </x:c>
      <x:c r="H66" s="3" t="str"/>
      <x:c r="I66" s="3" t="str">
        <x:v>HTTP 200 and token cookie cleared</x:v>
      </x:c>
      <x:c r="J66" s="3" t="str">
        <x:v>Logout with expired JWT HTTP 401; cookie cleared=False</x:v>
      </x:c>
      <x:c r="K66" s="3" t="str">
        <x:v>B031</x:v>
      </x:c>
      <x:c r="L66" s="3" t="str">
        <x:v>apps/users/views.py:LogoutView / authentication.py</x:v>
      </x:c>
      <x:c r="M66" s="3" t="str">
        <x:v>evidence/api-boundaries.json + api-boundaries.xml</x:v>
      </x:c>
      <x:c r="N66" s="10" t="str">
        <x:v>Passed</x:v>
      </x:c>
      <x:c r="O66" s="10" t="str">
        <x:v>Codex</x:v>
      </x:c>
      <x:c r="P66" s="10" t="str">
        <x:v>14 Oct 2026 — Logout with expired JWT HTTP 200; cookie cleared=True</x:v>
      </x:c>
    </x:row>
    <x:row r="67" ht="67" customHeight="1">
      <x:c r="A67" s="3" t="str">
        <x:v>API-E01</x:v>
      </x:c>
      <x:c r="B67" s="3" t="str">
        <x:v>Failed</x:v>
      </x:c>
      <x:c r="C67" s="3" t="str">
        <x:v>Code execution and grading</x:v>
      </x:c>
      <x:c r="D67" s="3" t="str">
        <x:v>Malformed execution language is validated before execution</x:v>
      </x:c>
      <x:c r="E67" s="3" t="str">
        <x:v>Faculty</x:v>
      </x:c>
      <x:c r="F67" s="3" t="str">
        <x:v>Isolated API test</x:v>
      </x:c>
      <x:c r="G67" s="3" t="str">
        <x:v>POST compiler/run-code with a list instead of a language string</x:v>
      </x:c>
      <x:c r="H67" s="3" t="str"/>
      <x:c r="I67" s="3" t="str">
        <x:v>HTTP 400 validation; no Judge0 request</x:v>
      </x:c>
      <x:c r="J67" s="3" t="str">
        <x:v>HTTP 500: "Server error"</x:v>
      </x:c>
      <x:c r="K67" s="3" t="str">
        <x:v>B014</x:v>
      </x:c>
      <x:c r="L67" s="3" t="str">
        <x:v>apps/execution/views.py:RunCodeView / services.py:get_language_id</x:v>
      </x:c>
      <x:c r="M67" s="3" t="str">
        <x:v>evidence/api-boundaries.json + api-boundaries.xml</x:v>
      </x:c>
      <x:c r="N67" s="10" t="str">
        <x:v>Passed</x:v>
      </x:c>
      <x:c r="O67" s="10" t="str">
        <x:v>Codex</x:v>
      </x:c>
      <x:c r="P67" s="10" t="str">
        <x:v>14 Oct 2026 — HTTP 400: {"success": false, "message": "Unsupported programming language."}</x:v>
      </x:c>
    </x:row>
    <x:row r="68" ht="92" customHeight="1">
      <x:c r="A68" s="3" t="str">
        <x:v>API-D01</x:v>
      </x:c>
      <x:c r="B68" s="3" t="str">
        <x:v>Failed</x:v>
      </x:c>
      <x:c r="C68" s="3" t="str">
        <x:v>Code drafts</x:v>
      </x:c>
      <x:c r="D68" s="3" t="str">
        <x:v>Code draft entries must contain text source</x:v>
      </x:c>
      <x:c r="E68" s="3" t="str">
        <x:v>Faculty</x:v>
      </x:c>
      <x:c r="F68" s="3" t="str">
        <x:v>Isolated API test</x:v>
      </x:c>
      <x:c r="G68" s="3" t="str">
        <x:v>POST compile/saveCode with an object as the Python source</x:v>
      </x:c>
      <x:c r="H68" s="3" t="str"/>
      <x:c r="I68" s="3" t="str">
        <x:v>HTTP 400 for non-string source values</x:v>
      </x:c>
      <x:c r="J68" s="3" t="str">
        <x:v>HTTP 200: {"success": true, "message": "Code saved successfully", "code": {"_id": "4f8533fa-5304-4f17-83de-89e4425286f5", "userId": "ba128ce7-2ec5-4d3c-a874-8f81acd098e7", "problemId": "6afd5fec-159a-4f03-9755-5960ac65141a", "codeByLanguage": {"python": {"not": "source text"}}, "updated_at": "2026-10-14T04:58:36.852885Z"}}</x:v>
      </x:c>
      <x:c r="K68" s="3" t="str">
        <x:v>B015</x:v>
      </x:c>
      <x:c r="L68" s="3" t="str">
        <x:v>apps/code_drafts/serializers.py:CodeDraftSaveSerializer</x:v>
      </x:c>
      <x:c r="M68" s="3" t="str">
        <x:v>evidence/api-boundaries.json + api-boundaries.xml</x:v>
      </x:c>
      <x:c r="N68" s="10" t="str">
        <x:v>Passed</x:v>
      </x:c>
      <x:c r="O68" s="10" t="str">
        <x:v>Codex</x:v>
      </x:c>
      <x:c r="P68" s="10" t="str">
        <x:v>14 Oct 2026 — HTTP 400: {"success": false, "message": "Invalid data", "errors": {"codeByLanguage": ["Code must be text keyed by a supported language."]}}</x:v>
      </x:c>
    </x:row>
    <x:row r="69" ht="67" customHeight="1">
      <x:c r="A69" s="3" t="str">
        <x:v>API-LB03</x:v>
      </x:c>
      <x:c r="B69" s="3" t="str">
        <x:v>Failed</x:v>
      </x:c>
      <x:c r="C69" s="3" t="str">
        <x:v>Rankings and exports</x:v>
      </x:c>
      <x:c r="D69" s="3" t="str">
        <x:v>Assessment ranking time matches the application's IST display</x:v>
      </x:c>
      <x:c r="E69" s="3" t="str">
        <x:v>Faculty</x:v>
      </x:c>
      <x:c r="F69" s="3" t="str">
        <x:v>Isolated API test</x:v>
      </x:c>
      <x:c r="G69" s="3" t="str">
        <x:v>Create a 00:30 UTC submission within an active window and request its assessment dashboard</x:v>
      </x:c>
      <x:c r="H69" s="3" t="str"/>
      <x:c r="I69" s="3" t="str">
        <x:v>06:00:00 AM IST for a 00:30 UTC submission</x:v>
      </x:c>
      <x:c r="J69" s="3" t="str">
        <x:v>API displays 12:30:00 AM without a timezone; IST equivalent is 06:00:00 AM</x:v>
      </x:c>
      <x:c r="K69" s="3" t="str">
        <x:v>B022</x:v>
      </x:c>
      <x:c r="L69" s="3" t="str">
        <x:v>apps/contests/views.py:ContestDashboardView datetime formatting</x:v>
      </x:c>
      <x:c r="M69" s="3" t="str">
        <x:v>evidence/api-boundaries.json + api-boundaries.xml</x:v>
      </x:c>
      <x:c r="N69" s="10" t="str">
        <x:v>Passed</x:v>
      </x:c>
      <x:c r="O69" s="10" t="str">
        <x:v>Codex</x:v>
      </x:c>
      <x:c r="P69" s="10" t="str">
        <x:v>14 Oct 2026 — API displays 06:00:00 AM without a timezone; IST equivalent is 06:00:00 AM</x:v>
      </x:c>
    </x:row>
    <x:row r="70" ht="66" customHeight="1">
      <x:c r="A70" s="3" t="str">
        <x:v>UI-A01</x:v>
      </x:c>
      <x:c r="B70" s="3" t="str">
        <x:v>Passed</x:v>
      </x:c>
      <x:c r="C70" s="3" t="str">
        <x:v>Authentication and sessions</x:v>
      </x:c>
      <x:c r="D70" s="3" t="str">
        <x:v>Empty login fields are handled safely</x:v>
      </x:c>
      <x:c r="E70" s="3" t="str">
        <x:v>Guest</x:v>
      </x:c>
      <x:c r="F70" s="3" t="str">
        <x:v>Live browser/API</x:v>
      </x:c>
      <x:c r="G70" s="3" t="str">
        <x:v>Open login; enter the scenario input and a wrong password; click Login</x:v>
      </x:c>
      <x:c r="H70" s="3" t="str">
        <x:v>Blank ID</x:v>
      </x:c>
      <x:c r="I70" s="3" t="str">
        <x:v>Login remains visible, shows a useful validation error and does not navigate</x:v>
      </x:c>
      <x:c r="J70" s="3" t="str">
        <x:v>Login visible=true; URL=http://localhost:5173/; page errors=[]</x:v>
      </x:c>
      <x:c r="K70" s="3" t="str"/>
      <x:c r="L70" s="3" t="str">
        <x:v>client/src/componets/Login.jsx:handleLogin</x:v>
      </x:c>
      <x:c r="M70" s="3" t="str">
        <x:v>evidence/browser-live-results.json</x:v>
      </x:c>
      <x:c r="N70" s="10" t="str">
        <x:v>Not run</x:v>
      </x:c>
      <x:c r="O70" s="10" t="str"/>
      <x:c r="P70" s="10" t="str"/>
    </x:row>
    <x:row r="71" ht="66" customHeight="1">
      <x:c r="A71" s="3" t="str">
        <x:v>UI-A02</x:v>
      </x:c>
      <x:c r="B71" s="3" t="str">
        <x:v>Passed</x:v>
      </x:c>
      <x:c r="C71" s="3" t="str">
        <x:v>Authentication and sessions</x:v>
      </x:c>
      <x:c r="D71" s="3" t="str">
        <x:v>Wrong password does not log in</x:v>
      </x:c>
      <x:c r="E71" s="3" t="str">
        <x:v>Guest</x:v>
      </x:c>
      <x:c r="F71" s="3" t="str">
        <x:v>Live browser/API</x:v>
      </x:c>
      <x:c r="G71" s="3" t="str">
        <x:v>Open login; enter the scenario input and a wrong password; click Login</x:v>
      </x:c>
      <x:c r="H71" s="3" t="str">
        <x:v>qaaudit_20261014_faculty</x:v>
      </x:c>
      <x:c r="I71" s="3" t="str">
        <x:v>Login remains visible, shows a useful validation error and does not navigate</x:v>
      </x:c>
      <x:c r="J71" s="3" t="str">
        <x:v>Login visible=true; URL=http://localhost:5173/; page errors=[]</x:v>
      </x:c>
      <x:c r="K71" s="3" t="str"/>
      <x:c r="L71" s="3" t="str">
        <x:v>client/src/componets/Login.jsx:handleLogin</x:v>
      </x:c>
      <x:c r="M71" s="3" t="str">
        <x:v>evidence/browser-live-results.json</x:v>
      </x:c>
      <x:c r="N71" s="10" t="str">
        <x:v>Not run</x:v>
      </x:c>
      <x:c r="O71" s="10" t="str"/>
      <x:c r="P71" s="10" t="str"/>
    </x:row>
    <x:row r="72" ht="79" customHeight="1">
      <x:c r="A72" s="3" t="str">
        <x:v>UI-A03</x:v>
      </x:c>
      <x:c r="B72" s="3" t="str">
        <x:v>Failed</x:v>
      </x:c>
      <x:c r="C72" s="3" t="str">
        <x:v>Authentication and sessions</x:v>
      </x:c>
      <x:c r="D72" s="3" t="str">
        <x:v>Malformed email response does not crash the login page</x:v>
      </x:c>
      <x:c r="E72" s="3" t="str">
        <x:v>Guest</x:v>
      </x:c>
      <x:c r="F72" s="3" t="str">
        <x:v>Live browser/API</x:v>
      </x:c>
      <x:c r="G72" s="3" t="str">
        <x:v>Open login; enter the scenario input and a wrong password; click Login</x:v>
      </x:c>
      <x:c r="H72" s="3" t="str">
        <x:v>bad@</x:v>
      </x:c>
      <x:c r="I72" s="3" t="str">
        <x:v>Login remains visible, shows a useful validation error and does not navigate</x:v>
      </x:c>
      <x:c r="J72" s="3" t="str">
        <x:v>Login visible=false; URL=http://localhost:5173/; page errors=["Minified React error #31; visit https://reactjs.org/docs/error-decoder.html?invariant=31&amp;args[]=object%20with%20keys%20%7Bemail%7D for the full message or use the non-minified dev environment for full errors and additional helpful warnings."]</x:v>
      </x:c>
      <x:c r="K72" s="3" t="str">
        <x:v>B023</x:v>
      </x:c>
      <x:c r="L72" s="3" t="str">
        <x:v>client/src/componets/Login.jsx:handleLogin</x:v>
      </x:c>
      <x:c r="M72" s="3" t="str">
        <x:v>evidence/browser-live-results.json</x:v>
      </x:c>
      <x:c r="N72" s="10" t="str">
        <x:v>Passed</x:v>
      </x:c>
      <x:c r="O72" s="10" t="str">
        <x:v>Codex</x:v>
      </x:c>
      <x:c r="P72" s="10" t="str">
        <x:v>14 Oct 2026 — Malformed email returned 400; form remained visible; no browser errors</x:v>
      </x:c>
    </x:row>
    <x:row r="73" ht="66" customHeight="1">
      <x:c r="A73" s="3" t="str">
        <x:v>UI-A04</x:v>
      </x:c>
      <x:c r="B73" s="3" t="str">
        <x:v>Passed</x:v>
      </x:c>
      <x:c r="C73" s="3" t="str">
        <x:v>Authentication and sessions</x:v>
      </x:c>
      <x:c r="D73" s="3" t="str">
        <x:v>Faculty live login and home data</x:v>
      </x:c>
      <x:c r="E73" s="3" t="str">
        <x:v>Faculty</x:v>
      </x:c>
      <x:c r="F73" s="3" t="str">
        <x:v>Live browser/API</x:v>
      </x:c>
      <x:c r="G73" s="3" t="str">
        <x:v>Sign in as the approved temporary faculty account</x:v>
      </x:c>
      <x:c r="H73" s="3" t="str"/>
      <x:c r="I73" s="3" t="str">
        <x:v>Authenticated home with actual API data</x:v>
      </x:c>
      <x:c r="J73" s="3" t="str">
        <x:v>Home loaded for temporary faculty</x:v>
      </x:c>
      <x:c r="K73" s="3" t="str"/>
      <x:c r="L73" s="3" t="str"/>
      <x:c r="M73" s="3" t="str">
        <x:v>evidence/browser-live-results.json</x:v>
      </x:c>
      <x:c r="N73" s="10" t="str">
        <x:v>Not run</x:v>
      </x:c>
      <x:c r="O73" s="10" t="str"/>
      <x:c r="P73" s="10" t="str"/>
    </x:row>
    <x:row r="74" ht="66" customHeight="1">
      <x:c r="A74" s="3" t="str">
        <x:v>UI-PR01</x:v>
      </x:c>
      <x:c r="B74" s="3" t="str">
        <x:v>Passed</x:v>
      </x:c>
      <x:c r="C74" s="3" t="str">
        <x:v>Profile</x:v>
      </x:c>
      <x:c r="D74" s="3" t="str">
        <x:v>Profile edits persist on the server</x:v>
      </x:c>
      <x:c r="E74" s="3" t="str">
        <x:v>Faculty</x:v>
      </x:c>
      <x:c r="F74" s="3" t="str">
        <x:v>Live browser/API</x:v>
      </x:c>
      <x:c r="G74" s="3" t="str">
        <x:v>Profile → Edit Details → change Full Name → Save Changes</x:v>
      </x:c>
      <x:c r="H74" s="3" t="str"/>
      <x:c r="I74" s="3" t="str">
        <x:v>The API stores the edited name and shows successful save</x:v>
      </x:c>
      <x:c r="J74" s="3" t="str">
        <x:v>Save HTTP 200; persisted name=QA Updated Faculty</x:v>
      </x:c>
      <x:c r="K74" s="3" t="str"/>
      <x:c r="L74" s="3" t="str">
        <x:v>client/src/componets/Profile/Profile.jsx:handleSubmit</x:v>
      </x:c>
      <x:c r="M74" s="3" t="str">
        <x:v>evidence/browser-live-results.json</x:v>
      </x:c>
      <x:c r="N74" s="10" t="str">
        <x:v>Not run</x:v>
      </x:c>
      <x:c r="O74" s="10" t="str"/>
      <x:c r="P74" s="10" t="str"/>
    </x:row>
    <x:row r="75" ht="66" customHeight="1">
      <x:c r="A75" s="3" t="str">
        <x:v>UI-PR02</x:v>
      </x:c>
      <x:c r="B75" s="3" t="str">
        <x:v>Failed</x:v>
      </x:c>
      <x:c r="C75" s="3" t="str">
        <x:v>Profile</x:v>
      </x:c>
      <x:c r="D75" s="3" t="str">
        <x:v>Account identity updates immediately after profile save</x:v>
      </x:c>
      <x:c r="E75" s="3" t="str">
        <x:v>Faculty</x:v>
      </x:c>
      <x:c r="F75" s="3" t="str">
        <x:v>Live browser/API</x:v>
      </x:c>
      <x:c r="G75" s="3" t="str">
        <x:v>Save Full Name as QA Updated Faculty; inspect the header account label before refreshing</x:v>
      </x:c>
      <x:c r="H75" s="3" t="str"/>
      <x:c r="I75" s="3" t="str">
        <x:v>Header and sidebar use the new name without refreshing</x:v>
      </x:c>
      <x:c r="J75" s="3" t="str">
        <x:v>Account link label after successful save: Account for QA Faculty</x:v>
      </x:c>
      <x:c r="K75" s="3" t="str">
        <x:v>B024</x:v>
      </x:c>
      <x:c r="L75" s="3" t="str">
        <x:v>client/src/componets/Profile/Profile.jsx:handleSubmit</x:v>
      </x:c>
      <x:c r="M75" s="3" t="str">
        <x:v>evidence/browser-live-results.json</x:v>
      </x:c>
      <x:c r="N75" s="10" t="str">
        <x:v>Passed</x:v>
      </x:c>
      <x:c r="O75" s="10" t="str">
        <x:v>Codex</x:v>
      </x:c>
      <x:c r="P75" s="10" t="str">
        <x:v>14 Oct 2026 — Saved name appeared in shared header/sidebar without refresh</x:v>
      </x:c>
    </x:row>
    <x:row r="76" ht="66" customHeight="1">
      <x:c r="A76" s="3" t="str">
        <x:v>UI-PR03</x:v>
      </x:c>
      <x:c r="B76" s="3" t="str">
        <x:v>Failed</x:v>
      </x:c>
      <x:c r="C76" s="3" t="str">
        <x:v>Profile</x:v>
      </x:c>
      <x:c r="D76" s="3" t="str">
        <x:v>Profile fields have associated labels</x:v>
      </x:c>
      <x:c r="E76" s="3" t="str">
        <x:v>Faculty</x:v>
      </x:c>
      <x:c r="F76" s="3" t="str">
        <x:v>Live browser/API</x:v>
      </x:c>
      <x:c r="G76" s="3" t="str">
        <x:v>Open profile editing; inspect label-to-input association</x:v>
      </x:c>
      <x:c r="H76" s="3" t="str"/>
      <x:c r="I76" s="3" t="str">
        <x:v>Full Name can be located through its label</x:v>
      </x:c>
      <x:c r="J76" s="3" t="str">
        <x:v>Inputs matched by label Full Name: 0</x:v>
      </x:c>
      <x:c r="K76" s="3" t="str">
        <x:v>B026</x:v>
      </x:c>
      <x:c r="L76" s="3" t="str">
        <x:v>client/src/componets/Profile/ProfileRight.jsx</x:v>
      </x:c>
      <x:c r="M76" s="3" t="str">
        <x:v>evidence/browser-live-results.json</x:v>
      </x:c>
      <x:c r="N76" s="10" t="str">
        <x:v>Passed</x:v>
      </x:c>
      <x:c r="O76" s="10" t="str">
        <x:v>Codex</x:v>
      </x:c>
      <x:c r="P76" s="10" t="str">
        <x:v>14 Oct 2026 — Profile text labels identify their controls</x:v>
      </x:c>
    </x:row>
    <x:row r="77" ht="66" customHeight="1">
      <x:c r="A77" s="3" t="str">
        <x:v>UI-P01</x:v>
      </x:c>
      <x:c r="B77" s="3" t="str">
        <x:v>Passed</x:v>
      </x:c>
      <x:c r="C77" s="3" t="str">
        <x:v>Problem authoring</x:v>
      </x:c>
      <x:c r="D77" s="3" t="str">
        <x:v>Existing problem including hidden tests opens for editing</x:v>
      </x:c>
      <x:c r="E77" s="3" t="str">
        <x:v>Faculty</x:v>
      </x:c>
      <x:c r="F77" s="3" t="str">
        <x:v>Live browser/API</x:v>
      </x:c>
      <x:c r="G77" s="3" t="str">
        <x:v>Open an owned problem with one hidden and one visible case; wait for edit API loading to finish</x:v>
      </x:c>
      <x:c r="H77" s="3" t="str"/>
      <x:c r="I77" s="3" t="str">
        <x:v>Both visible and hidden cases appear in owner editing</x:v>
      </x:c>
      <x:c r="J77" s="3" t="str">
        <x:v>Owner edit form contains 2 case editors and 1 hidden control after API loading completes</x:v>
      </x:c>
      <x:c r="K77" s="3" t="str"/>
      <x:c r="L77" s="3" t="str"/>
      <x:c r="M77" s="3" t="str">
        <x:v>evidence/browser-live-results.json</x:v>
      </x:c>
      <x:c r="N77" s="10" t="str">
        <x:v>Not run</x:v>
      </x:c>
      <x:c r="O77" s="10" t="str"/>
      <x:c r="P77" s="10" t="str"/>
    </x:row>
    <x:row r="78" ht="66" customHeight="1">
      <x:c r="A78" s="3" t="str">
        <x:v>UI-F01</x:v>
      </x:c>
      <x:c r="B78" s="3" t="str">
        <x:v>Failed</x:v>
      </x:c>
      <x:c r="C78" s="3" t="str">
        <x:v>Student management</x:v>
      </x:c>
      <x:c r="D78" s="3" t="str">
        <x:v>Add-student modal closes with Escape</x:v>
      </x:c>
      <x:c r="E78" s="3" t="str">
        <x:v>Faculty</x:v>
      </x:c>
      <x:c r="F78" s="3" t="str">
        <x:v>Live browser/API</x:v>
      </x:c>
      <x:c r="G78" s="3" t="str">
        <x:v>Bulk registration → Add Single Student → Escape</x:v>
      </x:c>
      <x:c r="H78" s="3" t="str"/>
      <x:c r="I78" s="3" t="str">
        <x:v>Escape closes the modal and restores focus to its trigger</x:v>
      </x:c>
      <x:c r="J78" s="3" t="str">
        <x:v>Add Student dialog still visible after Escape=true</x:v>
      </x:c>
      <x:c r="K78" s="3" t="str">
        <x:v>B027</x:v>
      </x:c>
      <x:c r="L78" s="3" t="str">
        <x:v>client/src/componets/Faculty/StudentRegister.jsx</x:v>
      </x:c>
      <x:c r="M78" s="3" t="str">
        <x:v>evidence/browser-live-results.json</x:v>
      </x:c>
      <x:c r="N78" s="10" t="str">
        <x:v>Passed</x:v>
      </x:c>
      <x:c r="O78" s="10" t="str">
        <x:v>Codex</x:v>
      </x:c>
      <x:c r="P78" s="10" t="str">
        <x:v>14 Oct 2026 — Escape closes dialog and restores opener focus</x:v>
      </x:c>
    </x:row>
    <x:row r="79" ht="66" customHeight="1">
      <x:c r="A79" s="3" t="str">
        <x:v>UI-P02</x:v>
      </x:c>
      <x:c r="B79" s="3" t="str">
        <x:v>Passed</x:v>
      </x:c>
      <x:c r="C79" s="3" t="str">
        <x:v>Problem access</x:v>
      </x:c>
      <x:c r="D79" s="3" t="str">
        <x:v>Student opens an assigned active-assessment problem</x:v>
      </x:c>
      <x:c r="E79" s="3" t="str">
        <x:v>Student</x:v>
      </x:c>
      <x:c r="F79" s="3" t="str">
        <x:v>Live browser/API</x:v>
      </x:c>
      <x:c r="G79" s="3" t="str">
        <x:v>Open the temporary assigned problem during its active assessment</x:v>
      </x:c>
      <x:c r="H79" s="3" t="str"/>
      <x:c r="I79" s="3" t="str">
        <x:v>Statement opens with no hidden test inputs exposed</x:v>
      </x:c>
      <x:c r="J79" s="3" t="str">
        <x:v>Statement loaded; hidden test input 4 5 absent from page</x:v>
      </x:c>
      <x:c r="K79" s="3" t="str"/>
      <x:c r="L79" s="3" t="str"/>
      <x:c r="M79" s="3" t="str">
        <x:v>evidence/browser-live-results.json</x:v>
      </x:c>
      <x:c r="N79" s="10" t="str">
        <x:v>Not run</x:v>
      </x:c>
      <x:c r="O79" s="10" t="str"/>
      <x:c r="P79" s="10" t="str"/>
    </x:row>
    <x:row r="80" ht="66" customHeight="1">
      <x:c r="A80" s="3" t="str">
        <x:v>UI-E01</x:v>
      </x:c>
      <x:c r="B80" s="3" t="str">
        <x:v>Passed</x:v>
      </x:c>
      <x:c r="C80" s="3" t="str">
        <x:v>Code editor</x:v>
      </x:c>
      <x:c r="D80" s="3" t="str">
        <x:v>Editor loads successfully</x:v>
      </x:c>
      <x:c r="E80" s="3" t="str">
        <x:v>Student</x:v>
      </x:c>
      <x:c r="F80" s="3" t="str">
        <x:v>Live browser/API</x:v>
      </x:c>
      <x:c r="G80" s="3" t="str">
        <x:v>Open problem and wait for the code editor</x:v>
      </x:c>
      <x:c r="H80" s="3" t="str"/>
      <x:c r="I80" s="3" t="str">
        <x:v>A working Monaco editor is available</x:v>
      </x:c>
      <x:c r="J80" s="3" t="str">
        <x:v>Loaded editor model languages=java</x:v>
      </x:c>
      <x:c r="K80" s="3" t="str"/>
      <x:c r="L80" s="3" t="str"/>
      <x:c r="M80" s="3" t="str">
        <x:v>evidence/browser-live-results.json</x:v>
      </x:c>
      <x:c r="N80" s="10" t="str">
        <x:v>Not run</x:v>
      </x:c>
      <x:c r="O80" s="10" t="str"/>
      <x:c r="P80" s="10" t="str"/>
    </x:row>
    <x:row r="81" ht="66" customHeight="1">
      <x:c r="A81" s="3" t="str">
        <x:v>UI-E02</x:v>
      </x:c>
      <x:c r="B81" s="3" t="str">
        <x:v>Failed</x:v>
      </x:c>
      <x:c r="C81" s="3" t="str">
        <x:v>Code editor</x:v>
      </x:c>
      <x:c r="D81" s="3" t="str">
        <x:v>Changing execution language updates editor syntax mode</x:v>
      </x:c>
      <x:c r="E81" s="3" t="str">
        <x:v>Student</x:v>
      </x:c>
      <x:c r="F81" s="3" t="str">
        <x:v>Live browser/API</x:v>
      </x:c>
      <x:c r="G81" s="3" t="str">
        <x:v>Open Java problem editor; select Python; inspect current editor model language</x:v>
      </x:c>
      <x:c r="H81" s="3" t="str"/>
      <x:c r="I81" s="3" t="str">
        <x:v>Selecting Python changes the editor model language to python</x:v>
      </x:c>
      <x:c r="J81" s="3" t="str">
        <x:v>Selected execution language=python; editor model language=java</x:v>
      </x:c>
      <x:c r="K81" s="3" t="str">
        <x:v>B028</x:v>
      </x:c>
      <x:c r="L81" s="3" t="str">
        <x:v>client/src/componets/CodeEditor/CodeEditorArea.jsx</x:v>
      </x:c>
      <x:c r="M81" s="3" t="str">
        <x:v>evidence/browser-live-results.json</x:v>
      </x:c>
      <x:c r="N81" s="10" t="str">
        <x:v>Passed</x:v>
      </x:c>
      <x:c r="O81" s="10" t="str">
        <x:v>Codex</x:v>
      </x:c>
      <x:c r="P81" s="10" t="str">
        <x:v>14 Oct 2026 — Monaco syntax follows Python and C++ selection</x:v>
      </x:c>
    </x:row>
    <x:row r="82" ht="66" customHeight="1">
      <x:c r="A82" s="3" t="str">
        <x:v>UI-E03</x:v>
      </x:c>
      <x:c r="B82" s="3" t="str">
        <x:v>Passed</x:v>
      </x:c>
      <x:c r="C82" s="3" t="str">
        <x:v>Code drafts</x:v>
      </x:c>
      <x:c r="D82" s="3" t="str">
        <x:v>Save and retrieve a per-language code draft</x:v>
      </x:c>
      <x:c r="E82" s="3" t="str">
        <x:v>Student</x:v>
      </x:c>
      <x:c r="F82" s="3" t="str">
        <x:v>Live browser/API</x:v>
      </x:c>
      <x:c r="G82" s="3" t="str">
        <x:v>Save Java, Python and C++ drafts for the temporary problem; retrieve draft API</x:v>
      </x:c>
      <x:c r="H82" s="3" t="str"/>
      <x:c r="I82" s="3" t="str">
        <x:v>Draft persists exactly for the student and problem</x:v>
      </x:c>
      <x:c r="J82" s="3" t="str">
        <x:v>Save HTTP 200; retrieved Python source matches=true</x:v>
      </x:c>
      <x:c r="K82" s="3" t="str"/>
      <x:c r="L82" s="3" t="str"/>
      <x:c r="M82" s="3" t="str">
        <x:v>evidence/browser-live-results.json</x:v>
      </x:c>
      <x:c r="N82" s="10" t="str">
        <x:v>Not run</x:v>
      </x:c>
      <x:c r="O82" s="10" t="str"/>
      <x:c r="P82" s="10" t="str"/>
    </x:row>
    <x:row r="83" ht="66" customHeight="1">
      <x:c r="A83" s="3" t="str">
        <x:v>LIVE-E01</x:v>
      </x:c>
      <x:c r="B83" s="3" t="str">
        <x:v>Passed</x:v>
      </x:c>
      <x:c r="C83" s="3" t="str">
        <x:v>Code execution and grading</x:v>
      </x:c>
      <x:c r="D83" s="3" t="str">
        <x:v>Correct Python answer</x:v>
      </x:c>
      <x:c r="E83" s="3" t="str">
        <x:v>Student</x:v>
      </x:c>
      <x:c r="F83" s="3" t="str">
        <x:v>Live browser/API</x:v>
      </x:c>
      <x:c r="G83" s="3" t="str">
        <x:v>Submit python code against one visible and one hidden case</x:v>
      </x:c>
      <x:c r="H83" s="3" t="str">
        <x:v>a,b=map(int,input().split()); print(a+b)</x:v>
      </x:c>
      <x:c r="I83" s="3" t="str">
        <x:v>HTTP 200; allPassed=true; marks=20</x:v>
      </x:c>
      <x:c r="J83" s="3" t="str">
        <x:v>HTTP 200; allPassed=true; marks=20; results=[{"passed":true,"error":null},{"passed":true,"error":null}]</x:v>
      </x:c>
      <x:c r="K83" s="3" t="str"/>
      <x:c r="L83" s="3" t="str">
        <x:v>apps/execution/services.py / views.py</x:v>
      </x:c>
      <x:c r="M83" s="3" t="str">
        <x:v>evidence/browser-live-results.json</x:v>
      </x:c>
      <x:c r="N83" s="10" t="str">
        <x:v>Passed</x:v>
      </x:c>
      <x:c r="O83" s="10" t="str">
        <x:v>Codex</x:v>
      </x:c>
      <x:c r="P83" s="10" t="str">
        <x:v>14 Oct 2026 — Real python execution allPassed=true, marks=20</x:v>
      </x:c>
    </x:row>
    <x:row r="84" ht="66" customHeight="1">
      <x:c r="A84" s="3" t="str">
        <x:v>LIVE-E02</x:v>
      </x:c>
      <x:c r="B84" s="3" t="str">
        <x:v>Passed</x:v>
      </x:c>
      <x:c r="C84" s="3" t="str">
        <x:v>Code execution and grading</x:v>
      </x:c>
      <x:c r="D84" s="3" t="str">
        <x:v>Wrong Python answer</x:v>
      </x:c>
      <x:c r="E84" s="3" t="str">
        <x:v>Student</x:v>
      </x:c>
      <x:c r="F84" s="3" t="str">
        <x:v>Live browser/API</x:v>
      </x:c>
      <x:c r="G84" s="3" t="str">
        <x:v>Submit python code against one visible and one hidden case</x:v>
      </x:c>
      <x:c r="H84" s="3" t="str">
        <x:v>print(0)</x:v>
      </x:c>
      <x:c r="I84" s="3" t="str">
        <x:v>HTTP 200; allPassed=false; marks=0</x:v>
      </x:c>
      <x:c r="J84" s="3" t="str">
        <x:v>HTTP 200; allPassed=false; marks=0; results=[{"passed":false,"error":null},{"passed":false,"error":null}]</x:v>
      </x:c>
      <x:c r="K84" s="3" t="str"/>
      <x:c r="L84" s="3" t="str">
        <x:v>apps/execution/services.py / views.py</x:v>
      </x:c>
      <x:c r="M84" s="3" t="str">
        <x:v>evidence/browser-live-results.json</x:v>
      </x:c>
      <x:c r="N84" s="10" t="str">
        <x:v>Passed</x:v>
      </x:c>
      <x:c r="O84" s="10" t="str">
        <x:v>Codex</x:v>
      </x:c>
      <x:c r="P84" s="10" t="str">
        <x:v>14 Oct 2026 — Real python execution allPassed=false, marks=0</x:v>
      </x:c>
    </x:row>
    <x:row r="85" ht="79" customHeight="1">
      <x:c r="A85" s="3" t="str">
        <x:v>LIVE-E03</x:v>
      </x:c>
      <x:c r="B85" s="3" t="str">
        <x:v>Passed</x:v>
      </x:c>
      <x:c r="C85" s="3" t="str">
        <x:v>Code execution and grading</x:v>
      </x:c>
      <x:c r="D85" s="3" t="str">
        <x:v>Python runtime exception</x:v>
      </x:c>
      <x:c r="E85" s="3" t="str">
        <x:v>Student</x:v>
      </x:c>
      <x:c r="F85" s="3" t="str">
        <x:v>Live browser/API</x:v>
      </x:c>
      <x:c r="G85" s="3" t="str">
        <x:v>Submit python code against one visible and one hidden case</x:v>
      </x:c>
      <x:c r="H85" s="3" t="str">
        <x:v>raise RuntimeError("QA runtime failure")</x:v>
      </x:c>
      <x:c r="I85" s="3" t="str">
        <x:v>HTTP 200; allPassed=false; marks=0</x:v>
      </x:c>
      <x:c r="J85" s="3" t="str">
        <x:v>HTTP 200; allPassed=false; marks=0; results=[{"passed":false,"error":"Traceback (most recent call last):\n  File \"script.py\", line 1, in &lt;module&gt;\n    raise RuntimeError(\"QA runtime failure\")\nRuntimeError: QA runtime failure\n"},{"passed":false,"error":"Hidden test case failed."}]</x:v>
      </x:c>
      <x:c r="K85" s="3" t="str"/>
      <x:c r="L85" s="3" t="str">
        <x:v>apps/execution/services.py / views.py</x:v>
      </x:c>
      <x:c r="M85" s="3" t="str">
        <x:v>evidence/browser-live-results.json</x:v>
      </x:c>
      <x:c r="N85" s="10" t="str">
        <x:v>Passed</x:v>
      </x:c>
      <x:c r="O85" s="10" t="str">
        <x:v>Codex</x:v>
      </x:c>
      <x:c r="P85" s="10" t="str">
        <x:v>14 Oct 2026 — Real python execution allPassed=false, marks=0</x:v>
      </x:c>
    </x:row>
    <x:row r="86" ht="66" customHeight="1">
      <x:c r="A86" s="3" t="str">
        <x:v>LIVE-E04</x:v>
      </x:c>
      <x:c r="B86" s="3" t="str">
        <x:v>Passed</x:v>
      </x:c>
      <x:c r="C86" s="3" t="str">
        <x:v>Code execution and grading</x:v>
      </x:c>
      <x:c r="D86" s="3" t="str">
        <x:v>Python syntax error</x:v>
      </x:c>
      <x:c r="E86" s="3" t="str">
        <x:v>Student</x:v>
      </x:c>
      <x:c r="F86" s="3" t="str">
        <x:v>Live browser/API</x:v>
      </x:c>
      <x:c r="G86" s="3" t="str">
        <x:v>Submit python code against one visible and one hidden case</x:v>
      </x:c>
      <x:c r="H86" s="3" t="str">
        <x:v>this is not valid python !</x:v>
      </x:c>
      <x:c r="I86" s="3" t="str">
        <x:v>HTTP 200; allPassed=false; marks=0</x:v>
      </x:c>
      <x:c r="J86" s="3" t="str">
        <x:v>HTTP 200; allPassed=false; marks=0; results=[{"passed":false,"error":"  File \"script.py\", line 1\n    this is not valid python !\n                      ^\nSyntaxError: invalid syntax\n"},{"passed":false,"error":"Hidden test case failed."}]</x:v>
      </x:c>
      <x:c r="K86" s="3" t="str"/>
      <x:c r="L86" s="3" t="str">
        <x:v>apps/execution/services.py / views.py</x:v>
      </x:c>
      <x:c r="M86" s="3" t="str">
        <x:v>evidence/browser-live-results.json</x:v>
      </x:c>
      <x:c r="N86" s="10" t="str">
        <x:v>Passed</x:v>
      </x:c>
      <x:c r="O86" s="10" t="str">
        <x:v>Codex</x:v>
      </x:c>
      <x:c r="P86" s="10" t="str">
        <x:v>14 Oct 2026 — Real python execution allPassed=false, marks=0</x:v>
      </x:c>
    </x:row>
    <x:row r="87" ht="66" customHeight="1">
      <x:c r="A87" s="3" t="str">
        <x:v>LIVE-E05</x:v>
      </x:c>
      <x:c r="B87" s="3" t="str">
        <x:v>Passed</x:v>
      </x:c>
      <x:c r="C87" s="3" t="str">
        <x:v>Code execution and grading</x:v>
      </x:c>
      <x:c r="D87" s="3" t="str">
        <x:v>Python time limit</x:v>
      </x:c>
      <x:c r="E87" s="3" t="str">
        <x:v>Student</x:v>
      </x:c>
      <x:c r="F87" s="3" t="str">
        <x:v>Live browser/API</x:v>
      </x:c>
      <x:c r="G87" s="3" t="str">
        <x:v>Submit python code against one visible and one hidden case</x:v>
      </x:c>
      <x:c r="H87" s="3" t="str">
        <x:v>while True: pass</x:v>
      </x:c>
      <x:c r="I87" s="3" t="str">
        <x:v>HTTP 200; allPassed=false; marks=0</x:v>
      </x:c>
      <x:c r="J87" s="3" t="str">
        <x:v>HTTP 200; allPassed=false; marks=0; results=[{"passed":false,"error":"Time Limit Exceeded"},{"passed":false,"error":"Hidden test case failed."}]</x:v>
      </x:c>
      <x:c r="K87" s="3" t="str"/>
      <x:c r="L87" s="3" t="str">
        <x:v>apps/execution/services.py / views.py</x:v>
      </x:c>
      <x:c r="M87" s="3" t="str">
        <x:v>evidence/browser-live-results.json</x:v>
      </x:c>
      <x:c r="N87" s="10" t="str">
        <x:v>Passed</x:v>
      </x:c>
      <x:c r="O87" s="10" t="str">
        <x:v>Codex</x:v>
      </x:c>
      <x:c r="P87" s="10" t="str">
        <x:v>14 Oct 2026 — Real python execution allPassed=false, marks=0</x:v>
      </x:c>
    </x:row>
    <x:row r="88" ht="66" customHeight="1">
      <x:c r="A88" s="3" t="str">
        <x:v>LIVE-E06</x:v>
      </x:c>
      <x:c r="B88" s="3" t="str">
        <x:v>Passed</x:v>
      </x:c>
      <x:c r="C88" s="3" t="str">
        <x:v>Code execution and grading</x:v>
      </x:c>
      <x:c r="D88" s="3" t="str">
        <x:v>Correct C++ answer</x:v>
      </x:c>
      <x:c r="E88" s="3" t="str">
        <x:v>Student</x:v>
      </x:c>
      <x:c r="F88" s="3" t="str">
        <x:v>Live browser/API</x:v>
      </x:c>
      <x:c r="G88" s="3" t="str">
        <x:v>Submit cpp code against one visible and one hidden case</x:v>
      </x:c>
      <x:c r="H88" s="3" t="str">
        <x:v>#include &lt;iostream&gt;
int main(){int a,b;std::cin&gt;&gt;a&gt;&gt;b;std::cout&lt;&lt;a+b;}</x:v>
      </x:c>
      <x:c r="I88" s="3" t="str">
        <x:v>HTTP 200; allPassed=true; marks=20</x:v>
      </x:c>
      <x:c r="J88" s="3" t="str">
        <x:v>HTTP 200; allPassed=true; marks=20; results=[{"passed":true,"error":null},{"passed":true,"error":null}]</x:v>
      </x:c>
      <x:c r="K88" s="3" t="str"/>
      <x:c r="L88" s="3" t="str">
        <x:v>apps/execution/services.py / views.py</x:v>
      </x:c>
      <x:c r="M88" s="3" t="str">
        <x:v>evidence/browser-live-results.json</x:v>
      </x:c>
      <x:c r="N88" s="10" t="str">
        <x:v>Passed</x:v>
      </x:c>
      <x:c r="O88" s="10" t="str">
        <x:v>Codex</x:v>
      </x:c>
      <x:c r="P88" s="10" t="str">
        <x:v>14 Oct 2026 — Real cpp execution allPassed=true, marks=20</x:v>
      </x:c>
    </x:row>
    <x:row r="89" ht="66" customHeight="1">
      <x:c r="A89" s="3" t="str">
        <x:v>LIVE-E07</x:v>
      </x:c>
      <x:c r="B89" s="3" t="str">
        <x:v>Passed</x:v>
      </x:c>
      <x:c r="C89" s="3" t="str">
        <x:v>Code execution and grading</x:v>
      </x:c>
      <x:c r="D89" s="3" t="str">
        <x:v>Correct Java answer</x:v>
      </x:c>
      <x:c r="E89" s="3" t="str">
        <x:v>Student</x:v>
      </x:c>
      <x:c r="F89" s="3" t="str">
        <x:v>Live browser/API</x:v>
      </x:c>
      <x:c r="G89" s="3" t="str">
        <x:v>Submit java code against one visible and one hidden case</x:v>
      </x:c>
      <x:c r="H89" s="3" t="str">
        <x:v>import java.util.*; public class Main { public static void main(String[]args){Scanner s=new Scanner(System.in);System.out.println(s.nextInt()+s.nextInt());}}</x:v>
      </x:c>
      <x:c r="I89" s="3" t="str">
        <x:v>HTTP 200; allPassed=true; marks=20</x:v>
      </x:c>
      <x:c r="J89" s="3" t="str">
        <x:v>HTTP 200; allPassed=true; marks=20; results=[{"passed":true,"error":null},{"passed":true,"error":null}]</x:v>
      </x:c>
      <x:c r="K89" s="3" t="str"/>
      <x:c r="L89" s="3" t="str">
        <x:v>apps/execution/services.py / views.py</x:v>
      </x:c>
      <x:c r="M89" s="3" t="str">
        <x:v>evidence/browser-live-results.json</x:v>
      </x:c>
      <x:c r="N89" s="10" t="str">
        <x:v>Passed</x:v>
      </x:c>
      <x:c r="O89" s="10" t="str">
        <x:v>Codex</x:v>
      </x:c>
      <x:c r="P89" s="10" t="str">
        <x:v>14 Oct 2026 — Real java execution allPassed=true, marks=20</x:v>
      </x:c>
    </x:row>
    <x:row r="90" ht="66" customHeight="1">
      <x:c r="A90" s="3" t="str">
        <x:v>LIVE-S01</x:v>
      </x:c>
      <x:c r="B90" s="3" t="str">
        <x:v>Passed</x:v>
      </x:c>
      <x:c r="C90" s="3" t="str">
        <x:v>Submission privacy</x:v>
      </x:c>
      <x:c r="D90" s="3" t="str">
        <x:v>Hidden case content is masked for the student</x:v>
      </x:c>
      <x:c r="E90" s="3" t="str">
        <x:v>Student</x:v>
      </x:c>
      <x:c r="F90" s="3" t="str">
        <x:v>Live browser/API</x:v>
      </x:c>
      <x:c r="G90" s="3" t="str">
        <x:v>Fetch a saved submission with a hidden test case; verify contents are masks, independent of mask length</x:v>
      </x:c>
      <x:c r="H90" s="3" t="str"/>
      <x:c r="I90" s="3" t="str">
        <x:v>Hidden input/output contain masks without exposing actual data</x:v>
      </x:c>
      <x:c r="J90" s="3" t="str">
        <x:v>HTTP 200; hidden results=[{"input":"****","output":"****","expectedOutput":"****"}]</x:v>
      </x:c>
      <x:c r="K90" s="3" t="str"/>
      <x:c r="L90" s="3" t="str"/>
      <x:c r="M90" s="3" t="str">
        <x:v>evidence/browser-live-results.json</x:v>
      </x:c>
      <x:c r="N90" s="10" t="str">
        <x:v>Not run</x:v>
      </x:c>
      <x:c r="O90" s="10" t="str"/>
      <x:c r="P90" s="10" t="str"/>
    </x:row>
    <x:row r="91" ht="66" customHeight="1">
      <x:c r="A91" s="3" t="str">
        <x:v>UI-S01</x:v>
      </x:c>
      <x:c r="B91" s="3" t="str">
        <x:v>Passed</x:v>
      </x:c>
      <x:c r="C91" s="3" t="str">
        <x:v>History and submissions</x:v>
      </x:c>
      <x:c r="D91" s="3" t="str">
        <x:v>Student history and submission review open with real data</x:v>
      </x:c>
      <x:c r="E91" s="3" t="str">
        <x:v>Student</x:v>
      </x:c>
      <x:c r="F91" s="3" t="str">
        <x:v>Live browser/API</x:v>
      </x:c>
      <x:c r="G91" s="3" t="str">
        <x:v>Open history then a saved submission review</x:v>
      </x:c>
      <x:c r="H91" s="3" t="str"/>
      <x:c r="I91" s="3" t="str">
        <x:v>History lists real submissions and the review page renders</x:v>
      </x:c>
      <x:c r="J91" s="3" t="str">
        <x:v>Live history and submission review loaded using the actual page title</x:v>
      </x:c>
      <x:c r="K91" s="3" t="str"/>
      <x:c r="L91" s="3" t="str"/>
      <x:c r="M91" s="3" t="str">
        <x:v>evidence/browser-live-results.json</x:v>
      </x:c>
      <x:c r="N91" s="10" t="str">
        <x:v>Not run</x:v>
      </x:c>
      <x:c r="O91" s="10" t="str"/>
      <x:c r="P91" s="10" t="str"/>
    </x:row>
    <x:row r="92" ht="66" customHeight="1">
      <x:c r="A92" s="3" t="str">
        <x:v>UI-GAP01</x:v>
      </x:c>
      <x:c r="B92" s="3" t="str">
        <x:v>Failed</x:v>
      </x:c>
      <x:c r="C92" s="3" t="str">
        <x:v>Problem access</x:v>
      </x:c>
      <x:c r="D92" s="3" t="str">
        <x:v>Solution tab has usable content or an explicit unavailable state</x:v>
      </x:c>
      <x:c r="E92" s="3" t="str">
        <x:v>Student</x:v>
      </x:c>
      <x:c r="F92" s="3" t="str">
        <x:v>Live browser/API</x:v>
      </x:c>
      <x:c r="G92" s="3" t="str">
        <x:v>Open any problem → Solution</x:v>
      </x:c>
      <x:c r="H92" s="3" t="str"/>
      <x:c r="I92" s="3" t="str">
        <x:v>Solution is available or the tab clearly explains its availability policy</x:v>
      </x:c>
      <x:c r="J92" s="3" t="str">
        <x:v>Solution tab displays generic placeholder text; no editorial publishing data model exists</x:v>
      </x:c>
      <x:c r="K92" s="3" t="str">
        <x:v>B035</x:v>
      </x:c>
      <x:c r="L92" s="3" t="str">
        <x:v>client/src/componets/Problem/Solution.jsx</x:v>
      </x:c>
      <x:c r="M92" s="3" t="str">
        <x:v>evidence/browser-live-results.json</x:v>
      </x:c>
      <x:c r="N92" s="10" t="str">
        <x:v>Passed</x:v>
      </x:c>
      <x:c r="O92" s="10" t="str">
        <x:v>Codex</x:v>
      </x:c>
      <x:c r="P92" s="10" t="str">
        <x:v>14 Oct 2026 — Solution shows explicit unpublished state</x:v>
      </x:c>
    </x:row>
    <x:row r="93" ht="66" customHeight="1">
      <x:c r="A93" s="3" t="str">
        <x:v>LIVE-R320-browse</x:v>
      </x:c>
      <x:c r="B93" s="3" t="str">
        <x:v>Passed</x:v>
      </x:c>
      <x:c r="C93" s="3" t="str">
        <x:v>Responsive UI</x:v>
      </x:c>
      <x:c r="D93" s="3" t="str">
        <x:v>browse populated student page at 320px</x:v>
      </x:c>
      <x:c r="E93" s="3" t="str">
        <x:v>Student</x:v>
      </x:c>
      <x:c r="F93" s="3" t="str">
        <x:v>Live browser/API</x:v>
      </x:c>
      <x:c r="G93" s="3" t="str">
        <x:v>Open /browse with seeded content at 320px</x:v>
      </x:c>
      <x:c r="H93" s="3" t="str"/>
      <x:c r="I93" s="3" t="str">
        <x:v>No document-wide horizontal overflow</x:v>
      </x:c>
      <x:c r="J93" s="3" t="str">
        <x:v>Viewport=320; horizontal overflow=false</x:v>
      </x:c>
      <x:c r="K93" s="3" t="str"/>
      <x:c r="L93" s="3" t="str"/>
      <x:c r="M93" s="3" t="str">
        <x:v>evidence/browser-live-results.json</x:v>
      </x:c>
      <x:c r="N93" s="10" t="str">
        <x:v>Not run</x:v>
      </x:c>
      <x:c r="O93" s="10" t="str"/>
      <x:c r="P93" s="10" t="str"/>
    </x:row>
    <x:row r="94" ht="66" customHeight="1">
      <x:c r="A94" s="3" t="str">
        <x:v>LIVE-R320-make-contest</x:v>
      </x:c>
      <x:c r="B94" s="3" t="str">
        <x:v>Passed</x:v>
      </x:c>
      <x:c r="C94" s="3" t="str">
        <x:v>Responsive UI</x:v>
      </x:c>
      <x:c r="D94" s="3" t="str">
        <x:v>make-contest populated student page at 320px</x:v>
      </x:c>
      <x:c r="E94" s="3" t="str">
        <x:v>Student</x:v>
      </x:c>
      <x:c r="F94" s="3" t="str">
        <x:v>Live browser/API</x:v>
      </x:c>
      <x:c r="G94" s="3" t="str">
        <x:v>Open /make-contest with seeded content at 320px</x:v>
      </x:c>
      <x:c r="H94" s="3" t="str"/>
      <x:c r="I94" s="3" t="str">
        <x:v>No document-wide horizontal overflow</x:v>
      </x:c>
      <x:c r="J94" s="3" t="str">
        <x:v>Viewport=320; horizontal overflow=false</x:v>
      </x:c>
      <x:c r="K94" s="3" t="str"/>
      <x:c r="L94" s="3" t="str"/>
      <x:c r="M94" s="3" t="str">
        <x:v>evidence/browser-live-results.json</x:v>
      </x:c>
      <x:c r="N94" s="10" t="str">
        <x:v>Not run</x:v>
      </x:c>
      <x:c r="O94" s="10" t="str"/>
      <x:c r="P94" s="10" t="str"/>
    </x:row>
    <x:row r="95" ht="66" customHeight="1">
      <x:c r="A95" s="3" t="str">
        <x:v>LIVE-R320-make-problem</x:v>
      </x:c>
      <x:c r="B95" s="3" t="str">
        <x:v>Passed</x:v>
      </x:c>
      <x:c r="C95" s="3" t="str">
        <x:v>Responsive UI</x:v>
      </x:c>
      <x:c r="D95" s="3" t="str">
        <x:v>make-problem populated student page at 320px</x:v>
      </x:c>
      <x:c r="E95" s="3" t="str">
        <x:v>Student</x:v>
      </x:c>
      <x:c r="F95" s="3" t="str">
        <x:v>Live browser/API</x:v>
      </x:c>
      <x:c r="G95" s="3" t="str">
        <x:v>Open /make-problem with seeded content at 320px</x:v>
      </x:c>
      <x:c r="H95" s="3" t="str"/>
      <x:c r="I95" s="3" t="str">
        <x:v>No document-wide horizontal overflow</x:v>
      </x:c>
      <x:c r="J95" s="3" t="str">
        <x:v>Viewport=320; horizontal overflow=false</x:v>
      </x:c>
      <x:c r="K95" s="3" t="str"/>
      <x:c r="L95" s="3" t="str"/>
      <x:c r="M95" s="3" t="str">
        <x:v>evidence/browser-live-results.json</x:v>
      </x:c>
      <x:c r="N95" s="10" t="str">
        <x:v>Not run</x:v>
      </x:c>
      <x:c r="O95" s="10" t="str"/>
      <x:c r="P95" s="10" t="str"/>
    </x:row>
    <x:row r="96" ht="92" customHeight="1">
      <x:c r="A96" s="3" t="str">
        <x:v>LIVE-R320-profile</x:v>
      </x:c>
      <x:c r="B96" s="3" t="str">
        <x:v>Failed</x:v>
      </x:c>
      <x:c r="C96" s="3" t="str">
        <x:v>Responsive UI</x:v>
      </x:c>
      <x:c r="D96" s="3" t="str">
        <x:v>Populated student profile at 320px</x:v>
      </x:c>
      <x:c r="E96" s="3" t="str">
        <x:v>Student</x:v>
      </x:c>
      <x:c r="F96" s="3" t="str">
        <x:v>Live browser/API</x:v>
      </x:c>
      <x:c r="G96" s="3" t="str">
        <x:v>Create several submissions, then open the student profile at 320px</x:v>
      </x:c>
      <x:c r="H96" s="3" t="str"/>
      <x:c r="I96" s="3" t="str">
        <x:v>No document-wide horizontal overflow</x:v>
      </x:c>
      <x:c r="J96" s="3" t="str">
        <x:v>{"viewport":320,"width":344,"elements":[{"tag":"DIV","text":"","class":"flex-shrink-0 ml-4"},{"tag":"svg","class":{}},{"tag":"path","class":{}},{"tag":"DIV","text":"","class":"flex-shrink-0 ml-4"},{"tag":"svg","class":{}},{"tag":"path","class":{}},{"tag":"DIV","text":"","class":"flex-shrink-0 ml-4"},{"tag":"svg","class":{}}]}</x:v>
      </x:c>
      <x:c r="K96" s="3" t="str">
        <x:v>B029</x:v>
      </x:c>
      <x:c r="L96" s="3" t="str">
        <x:v>client/src/componets/SubmissionPage.jsx / Profile/Profile.jsx</x:v>
      </x:c>
      <x:c r="M96" s="3" t="str">
        <x:v>evidence/browser-live-results.json</x:v>
      </x:c>
      <x:c r="N96" s="10" t="str">
        <x:v>Passed</x:v>
      </x:c>
      <x:c r="O96" s="10" t="str">
        <x:v>Codex</x:v>
      </x:c>
      <x:c r="P96" s="10" t="str">
        <x:v>14 Oct 2026 — {"width":320,"document":320}</x:v>
      </x:c>
    </x:row>
    <x:row r="97" ht="66" customHeight="1">
      <x:c r="A97" s="3" t="str">
        <x:v>LIVE-R320-history</x:v>
      </x:c>
      <x:c r="B97" s="3" t="str">
        <x:v>Passed</x:v>
      </x:c>
      <x:c r="C97" s="3" t="str">
        <x:v>Responsive UI</x:v>
      </x:c>
      <x:c r="D97" s="3" t="str">
        <x:v>history populated student page at 320px</x:v>
      </x:c>
      <x:c r="E97" s="3" t="str">
        <x:v>Student</x:v>
      </x:c>
      <x:c r="F97" s="3" t="str">
        <x:v>Live browser/API</x:v>
      </x:c>
      <x:c r="G97" s="3" t="str">
        <x:v>Open /history with seeded content at 320px</x:v>
      </x:c>
      <x:c r="H97" s="3" t="str"/>
      <x:c r="I97" s="3" t="str">
        <x:v>No document-wide horizontal overflow</x:v>
      </x:c>
      <x:c r="J97" s="3" t="str">
        <x:v>Viewport=320; horizontal overflow=false</x:v>
      </x:c>
      <x:c r="K97" s="3" t="str"/>
      <x:c r="L97" s="3" t="str"/>
      <x:c r="M97" s="3" t="str">
        <x:v>evidence/browser-live-results.json</x:v>
      </x:c>
      <x:c r="N97" s="10" t="str">
        <x:v>Not run</x:v>
      </x:c>
      <x:c r="O97" s="10" t="str"/>
      <x:c r="P97" s="10" t="str"/>
    </x:row>
    <x:row r="98" ht="66" customHeight="1">
      <x:c r="A98" s="3" t="str">
        <x:v>LIVE-R320-problems</x:v>
      </x:c>
      <x:c r="B98" s="3" t="str">
        <x:v>Passed</x:v>
      </x:c>
      <x:c r="C98" s="3" t="str">
        <x:v>Responsive UI</x:v>
      </x:c>
      <x:c r="D98" s="3" t="str">
        <x:v>problems populated student page at 320px</x:v>
      </x:c>
      <x:c r="E98" s="3" t="str">
        <x:v>Student</x:v>
      </x:c>
      <x:c r="F98" s="3" t="str">
        <x:v>Live browser/API</x:v>
      </x:c>
      <x:c r="G98" s="3" t="str">
        <x:v>Open /problems/d7896b03-f163-4c5a-8f03-4371dda21935 with seeded content at 320px</x:v>
      </x:c>
      <x:c r="H98" s="3" t="str"/>
      <x:c r="I98" s="3" t="str">
        <x:v>No document-wide horizontal overflow</x:v>
      </x:c>
      <x:c r="J98" s="3" t="str">
        <x:v>Viewport=320; horizontal overflow=false</x:v>
      </x:c>
      <x:c r="K98" s="3" t="str"/>
      <x:c r="L98" s="3" t="str"/>
      <x:c r="M98" s="3" t="str">
        <x:v>evidence/browser-live-results.json</x:v>
      </x:c>
      <x:c r="N98" s="10" t="str">
        <x:v>Not run</x:v>
      </x:c>
      <x:c r="O98" s="10" t="str"/>
      <x:c r="P98" s="10" t="str"/>
    </x:row>
    <x:row r="99" ht="66" customHeight="1">
      <x:c r="A99" s="3" t="str">
        <x:v>LIVE-R768-browse</x:v>
      </x:c>
      <x:c r="B99" s="3" t="str">
        <x:v>Passed</x:v>
      </x:c>
      <x:c r="C99" s="3" t="str">
        <x:v>Responsive UI</x:v>
      </x:c>
      <x:c r="D99" s="3" t="str">
        <x:v>browse populated student page at 768px</x:v>
      </x:c>
      <x:c r="E99" s="3" t="str">
        <x:v>Student</x:v>
      </x:c>
      <x:c r="F99" s="3" t="str">
        <x:v>Live browser/API</x:v>
      </x:c>
      <x:c r="G99" s="3" t="str">
        <x:v>Open /browse with seeded content at 768px</x:v>
      </x:c>
      <x:c r="H99" s="3" t="str"/>
      <x:c r="I99" s="3" t="str">
        <x:v>No document-wide horizontal overflow</x:v>
      </x:c>
      <x:c r="J99" s="3" t="str">
        <x:v>Viewport=768; horizontal overflow=false</x:v>
      </x:c>
      <x:c r="K99" s="3" t="str"/>
      <x:c r="L99" s="3" t="str"/>
      <x:c r="M99" s="3" t="str">
        <x:v>evidence/browser-live-results.json</x:v>
      </x:c>
      <x:c r="N99" s="10" t="str">
        <x:v>Not run</x:v>
      </x:c>
      <x:c r="O99" s="10" t="str"/>
      <x:c r="P99" s="10" t="str"/>
    </x:row>
    <x:row r="100" ht="66" customHeight="1">
      <x:c r="A100" s="3" t="str">
        <x:v>LIVE-R768-make-contest</x:v>
      </x:c>
      <x:c r="B100" s="3" t="str">
        <x:v>Passed</x:v>
      </x:c>
      <x:c r="C100" s="3" t="str">
        <x:v>Responsive UI</x:v>
      </x:c>
      <x:c r="D100" s="3" t="str">
        <x:v>make-contest populated student page at 768px</x:v>
      </x:c>
      <x:c r="E100" s="3" t="str">
        <x:v>Student</x:v>
      </x:c>
      <x:c r="F100" s="3" t="str">
        <x:v>Live browser/API</x:v>
      </x:c>
      <x:c r="G100" s="3" t="str">
        <x:v>Open /make-contest with seeded content at 768px</x:v>
      </x:c>
      <x:c r="H100" s="3" t="str"/>
      <x:c r="I100" s="3" t="str">
        <x:v>No document-wide horizontal overflow</x:v>
      </x:c>
      <x:c r="J100" s="3" t="str">
        <x:v>Viewport=768; horizontal overflow=false</x:v>
      </x:c>
      <x:c r="K100" s="3" t="str"/>
      <x:c r="L100" s="3" t="str"/>
      <x:c r="M100" s="3" t="str">
        <x:v>evidence/browser-live-results.json</x:v>
      </x:c>
      <x:c r="N100" s="10" t="str">
        <x:v>Not run</x:v>
      </x:c>
      <x:c r="O100" s="10" t="str"/>
      <x:c r="P100" s="10" t="str"/>
    </x:row>
    <x:row r="101" ht="66" customHeight="1">
      <x:c r="A101" s="3" t="str">
        <x:v>LIVE-R768-make-problem</x:v>
      </x:c>
      <x:c r="B101" s="3" t="str">
        <x:v>Passed</x:v>
      </x:c>
      <x:c r="C101" s="3" t="str">
        <x:v>Responsive UI</x:v>
      </x:c>
      <x:c r="D101" s="3" t="str">
        <x:v>make-problem populated student page at 768px</x:v>
      </x:c>
      <x:c r="E101" s="3" t="str">
        <x:v>Student</x:v>
      </x:c>
      <x:c r="F101" s="3" t="str">
        <x:v>Live browser/API</x:v>
      </x:c>
      <x:c r="G101" s="3" t="str">
        <x:v>Open /make-problem with seeded content at 768px</x:v>
      </x:c>
      <x:c r="H101" s="3" t="str"/>
      <x:c r="I101" s="3" t="str">
        <x:v>No document-wide horizontal overflow</x:v>
      </x:c>
      <x:c r="J101" s="3" t="str">
        <x:v>Viewport=768; horizontal overflow=false</x:v>
      </x:c>
      <x:c r="K101" s="3" t="str"/>
      <x:c r="L101" s="3" t="str"/>
      <x:c r="M101" s="3" t="str">
        <x:v>evidence/browser-live-results.json</x:v>
      </x:c>
      <x:c r="N101" s="10" t="str">
        <x:v>Not run</x:v>
      </x:c>
      <x:c r="O101" s="10" t="str"/>
      <x:c r="P101" s="10" t="str"/>
    </x:row>
    <x:row r="102" ht="66" customHeight="1">
      <x:c r="A102" s="3" t="str">
        <x:v>LIVE-R768-profile</x:v>
      </x:c>
      <x:c r="B102" s="3" t="str">
        <x:v>Passed</x:v>
      </x:c>
      <x:c r="C102" s="3" t="str">
        <x:v>Responsive UI</x:v>
      </x:c>
      <x:c r="D102" s="3" t="str">
        <x:v>profile populated student page at 768px</x:v>
      </x:c>
      <x:c r="E102" s="3" t="str">
        <x:v>Student</x:v>
      </x:c>
      <x:c r="F102" s="3" t="str">
        <x:v>Live browser/API</x:v>
      </x:c>
      <x:c r="G102" s="3" t="str">
        <x:v>Open /profile with seeded content at 768px</x:v>
      </x:c>
      <x:c r="H102" s="3" t="str"/>
      <x:c r="I102" s="3" t="str">
        <x:v>No document-wide horizontal overflow</x:v>
      </x:c>
      <x:c r="J102" s="3" t="str">
        <x:v>Viewport=768; horizontal overflow=false</x:v>
      </x:c>
      <x:c r="K102" s="3" t="str"/>
      <x:c r="L102" s="3" t="str"/>
      <x:c r="M102" s="3" t="str">
        <x:v>evidence/browser-live-results.json</x:v>
      </x:c>
      <x:c r="N102" s="10" t="str">
        <x:v>Not run</x:v>
      </x:c>
      <x:c r="O102" s="10" t="str"/>
      <x:c r="P102" s="10" t="str"/>
    </x:row>
    <x:row r="103" ht="66" customHeight="1">
      <x:c r="A103" s="3" t="str">
        <x:v>LIVE-R768-history</x:v>
      </x:c>
      <x:c r="B103" s="3" t="str">
        <x:v>Passed</x:v>
      </x:c>
      <x:c r="C103" s="3" t="str">
        <x:v>Responsive UI</x:v>
      </x:c>
      <x:c r="D103" s="3" t="str">
        <x:v>history populated student page at 768px</x:v>
      </x:c>
      <x:c r="E103" s="3" t="str">
        <x:v>Student</x:v>
      </x:c>
      <x:c r="F103" s="3" t="str">
        <x:v>Live browser/API</x:v>
      </x:c>
      <x:c r="G103" s="3" t="str">
        <x:v>Open /history with seeded content at 768px</x:v>
      </x:c>
      <x:c r="H103" s="3" t="str"/>
      <x:c r="I103" s="3" t="str">
        <x:v>No document-wide horizontal overflow</x:v>
      </x:c>
      <x:c r="J103" s="3" t="str">
        <x:v>Viewport=768; horizontal overflow=false</x:v>
      </x:c>
      <x:c r="K103" s="3" t="str"/>
      <x:c r="L103" s="3" t="str"/>
      <x:c r="M103" s="3" t="str">
        <x:v>evidence/browser-live-results.json</x:v>
      </x:c>
      <x:c r="N103" s="10" t="str">
        <x:v>Not run</x:v>
      </x:c>
      <x:c r="O103" s="10" t="str"/>
      <x:c r="P103" s="10" t="str"/>
    </x:row>
    <x:row r="104" ht="66" customHeight="1">
      <x:c r="A104" s="3" t="str">
        <x:v>LIVE-R768-problems</x:v>
      </x:c>
      <x:c r="B104" s="3" t="str">
        <x:v>Passed</x:v>
      </x:c>
      <x:c r="C104" s="3" t="str">
        <x:v>Responsive UI</x:v>
      </x:c>
      <x:c r="D104" s="3" t="str">
        <x:v>problems populated student page at 768px</x:v>
      </x:c>
      <x:c r="E104" s="3" t="str">
        <x:v>Student</x:v>
      </x:c>
      <x:c r="F104" s="3" t="str">
        <x:v>Live browser/API</x:v>
      </x:c>
      <x:c r="G104" s="3" t="str">
        <x:v>Open /problems/d7896b03-f163-4c5a-8f03-4371dda21935 with seeded content at 768px</x:v>
      </x:c>
      <x:c r="H104" s="3" t="str"/>
      <x:c r="I104" s="3" t="str">
        <x:v>No document-wide horizontal overflow</x:v>
      </x:c>
      <x:c r="J104" s="3" t="str">
        <x:v>Viewport=768; horizontal overflow=false</x:v>
      </x:c>
      <x:c r="K104" s="3" t="str"/>
      <x:c r="L104" s="3" t="str"/>
      <x:c r="M104" s="3" t="str">
        <x:v>evidence/browser-live-results.json</x:v>
      </x:c>
      <x:c r="N104" s="10" t="str">
        <x:v>Not run</x:v>
      </x:c>
      <x:c r="O104" s="10" t="str"/>
      <x:c r="P104" s="10" t="str"/>
    </x:row>
    <x:row r="105" ht="66" customHeight="1">
      <x:c r="A105" s="3" t="str">
        <x:v>LIVE-R1440-browse</x:v>
      </x:c>
      <x:c r="B105" s="3" t="str">
        <x:v>Passed</x:v>
      </x:c>
      <x:c r="C105" s="3" t="str">
        <x:v>Responsive UI</x:v>
      </x:c>
      <x:c r="D105" s="3" t="str">
        <x:v>browse populated student page at 1440px</x:v>
      </x:c>
      <x:c r="E105" s="3" t="str">
        <x:v>Student</x:v>
      </x:c>
      <x:c r="F105" s="3" t="str">
        <x:v>Live browser/API</x:v>
      </x:c>
      <x:c r="G105" s="3" t="str">
        <x:v>Open /browse with seeded content at 1440px</x:v>
      </x:c>
      <x:c r="H105" s="3" t="str"/>
      <x:c r="I105" s="3" t="str">
        <x:v>No document-wide horizontal overflow</x:v>
      </x:c>
      <x:c r="J105" s="3" t="str">
        <x:v>Viewport=1440; horizontal overflow=false</x:v>
      </x:c>
      <x:c r="K105" s="3" t="str"/>
      <x:c r="L105" s="3" t="str"/>
      <x:c r="M105" s="3" t="str">
        <x:v>evidence/browser-live-results.json</x:v>
      </x:c>
      <x:c r="N105" s="10" t="str">
        <x:v>Not run</x:v>
      </x:c>
      <x:c r="O105" s="10" t="str"/>
      <x:c r="P105" s="10" t="str"/>
    </x:row>
    <x:row r="106" ht="66" customHeight="1">
      <x:c r="A106" s="3" t="str">
        <x:v>LIVE-R1440-make-contest</x:v>
      </x:c>
      <x:c r="B106" s="3" t="str">
        <x:v>Passed</x:v>
      </x:c>
      <x:c r="C106" s="3" t="str">
        <x:v>Responsive UI</x:v>
      </x:c>
      <x:c r="D106" s="3" t="str">
        <x:v>make-contest populated student page at 1440px</x:v>
      </x:c>
      <x:c r="E106" s="3" t="str">
        <x:v>Student</x:v>
      </x:c>
      <x:c r="F106" s="3" t="str">
        <x:v>Live browser/API</x:v>
      </x:c>
      <x:c r="G106" s="3" t="str">
        <x:v>Open /make-contest with seeded content at 1440px</x:v>
      </x:c>
      <x:c r="H106" s="3" t="str"/>
      <x:c r="I106" s="3" t="str">
        <x:v>No document-wide horizontal overflow</x:v>
      </x:c>
      <x:c r="J106" s="3" t="str">
        <x:v>Viewport=1440; horizontal overflow=false</x:v>
      </x:c>
      <x:c r="K106" s="3" t="str"/>
      <x:c r="L106" s="3" t="str"/>
      <x:c r="M106" s="3" t="str">
        <x:v>evidence/browser-live-results.json</x:v>
      </x:c>
      <x:c r="N106" s="10" t="str">
        <x:v>Not run</x:v>
      </x:c>
      <x:c r="O106" s="10" t="str"/>
      <x:c r="P106" s="10" t="str"/>
    </x:row>
    <x:row r="107" ht="66" customHeight="1">
      <x:c r="A107" s="3" t="str">
        <x:v>LIVE-R1440-make-problem</x:v>
      </x:c>
      <x:c r="B107" s="3" t="str">
        <x:v>Passed</x:v>
      </x:c>
      <x:c r="C107" s="3" t="str">
        <x:v>Responsive UI</x:v>
      </x:c>
      <x:c r="D107" s="3" t="str">
        <x:v>make-problem populated student page at 1440px</x:v>
      </x:c>
      <x:c r="E107" s="3" t="str">
        <x:v>Student</x:v>
      </x:c>
      <x:c r="F107" s="3" t="str">
        <x:v>Live browser/API</x:v>
      </x:c>
      <x:c r="G107" s="3" t="str">
        <x:v>Open /make-problem with seeded content at 1440px</x:v>
      </x:c>
      <x:c r="H107" s="3" t="str"/>
      <x:c r="I107" s="3" t="str">
        <x:v>No document-wide horizontal overflow</x:v>
      </x:c>
      <x:c r="J107" s="3" t="str">
        <x:v>Viewport=1440; horizontal overflow=false</x:v>
      </x:c>
      <x:c r="K107" s="3" t="str"/>
      <x:c r="L107" s="3" t="str"/>
      <x:c r="M107" s="3" t="str">
        <x:v>evidence/browser-live-results.json</x:v>
      </x:c>
      <x:c r="N107" s="10" t="str">
        <x:v>Not run</x:v>
      </x:c>
      <x:c r="O107" s="10" t="str"/>
      <x:c r="P107" s="10" t="str"/>
    </x:row>
    <x:row r="108" ht="66" customHeight="1">
      <x:c r="A108" s="3" t="str">
        <x:v>LIVE-R1440-profile</x:v>
      </x:c>
      <x:c r="B108" s="3" t="str">
        <x:v>Passed</x:v>
      </x:c>
      <x:c r="C108" s="3" t="str">
        <x:v>Responsive UI</x:v>
      </x:c>
      <x:c r="D108" s="3" t="str">
        <x:v>profile populated student page at 1440px</x:v>
      </x:c>
      <x:c r="E108" s="3" t="str">
        <x:v>Student</x:v>
      </x:c>
      <x:c r="F108" s="3" t="str">
        <x:v>Live browser/API</x:v>
      </x:c>
      <x:c r="G108" s="3" t="str">
        <x:v>Open /profile with seeded content at 1440px</x:v>
      </x:c>
      <x:c r="H108" s="3" t="str"/>
      <x:c r="I108" s="3" t="str">
        <x:v>No document-wide horizontal overflow</x:v>
      </x:c>
      <x:c r="J108" s="3" t="str">
        <x:v>Viewport=1440; horizontal overflow=false</x:v>
      </x:c>
      <x:c r="K108" s="3" t="str"/>
      <x:c r="L108" s="3" t="str"/>
      <x:c r="M108" s="3" t="str">
        <x:v>evidence/browser-live-results.json</x:v>
      </x:c>
      <x:c r="N108" s="10" t="str">
        <x:v>Not run</x:v>
      </x:c>
      <x:c r="O108" s="10" t="str"/>
      <x:c r="P108" s="10" t="str"/>
    </x:row>
    <x:row r="109" ht="66" customHeight="1">
      <x:c r="A109" s="3" t="str">
        <x:v>LIVE-R1440-history</x:v>
      </x:c>
      <x:c r="B109" s="3" t="str">
        <x:v>Passed</x:v>
      </x:c>
      <x:c r="C109" s="3" t="str">
        <x:v>Responsive UI</x:v>
      </x:c>
      <x:c r="D109" s="3" t="str">
        <x:v>history populated student page at 1440px</x:v>
      </x:c>
      <x:c r="E109" s="3" t="str">
        <x:v>Student</x:v>
      </x:c>
      <x:c r="F109" s="3" t="str">
        <x:v>Live browser/API</x:v>
      </x:c>
      <x:c r="G109" s="3" t="str">
        <x:v>Open /history with seeded content at 1440px</x:v>
      </x:c>
      <x:c r="H109" s="3" t="str"/>
      <x:c r="I109" s="3" t="str">
        <x:v>No document-wide horizontal overflow</x:v>
      </x:c>
      <x:c r="J109" s="3" t="str">
        <x:v>Viewport=1440; horizontal overflow=false</x:v>
      </x:c>
      <x:c r="K109" s="3" t="str"/>
      <x:c r="L109" s="3" t="str"/>
      <x:c r="M109" s="3" t="str">
        <x:v>evidence/browser-live-results.json</x:v>
      </x:c>
      <x:c r="N109" s="10" t="str">
        <x:v>Not run</x:v>
      </x:c>
      <x:c r="O109" s="10" t="str"/>
      <x:c r="P109" s="10" t="str"/>
    </x:row>
    <x:row r="110" ht="66" customHeight="1">
      <x:c r="A110" s="3" t="str">
        <x:v>LIVE-R1440-problems</x:v>
      </x:c>
      <x:c r="B110" s="3" t="str">
        <x:v>Passed</x:v>
      </x:c>
      <x:c r="C110" s="3" t="str">
        <x:v>Responsive UI</x:v>
      </x:c>
      <x:c r="D110" s="3" t="str">
        <x:v>problems populated student page at 1440px</x:v>
      </x:c>
      <x:c r="E110" s="3" t="str">
        <x:v>Student</x:v>
      </x:c>
      <x:c r="F110" s="3" t="str">
        <x:v>Live browser/API</x:v>
      </x:c>
      <x:c r="G110" s="3" t="str">
        <x:v>Open /problems/d7896b03-f163-4c5a-8f03-4371dda21935 with seeded content at 1440px</x:v>
      </x:c>
      <x:c r="H110" s="3" t="str"/>
      <x:c r="I110" s="3" t="str">
        <x:v>No document-wide horizontal overflow</x:v>
      </x:c>
      <x:c r="J110" s="3" t="str">
        <x:v>Viewport=1440; horizontal overflow=false</x:v>
      </x:c>
      <x:c r="K110" s="3" t="str"/>
      <x:c r="L110" s="3" t="str"/>
      <x:c r="M110" s="3" t="str">
        <x:v>evidence/browser-live-results.json</x:v>
      </x:c>
      <x:c r="N110" s="10" t="str">
        <x:v>Not run</x:v>
      </x:c>
      <x:c r="O110" s="10" t="str"/>
      <x:c r="P110" s="10" t="str"/>
    </x:row>
    <x:row r="111" ht="66" customHeight="1">
      <x:c r="A111" s="3" t="str">
        <x:v>UI-P03</x:v>
      </x:c>
      <x:c r="B111" s="3" t="str">
        <x:v>Failed</x:v>
      </x:c>
      <x:c r="C111" s="3" t="str">
        <x:v>Problem access</x:v>
      </x:c>
      <x:c r="D111" s="3" t="str">
        <x:v>Missing problem displays an error instead of infinite loading</x:v>
      </x:c>
      <x:c r="E111" s="3" t="str">
        <x:v>Student</x:v>
      </x:c>
      <x:c r="F111" s="3" t="str">
        <x:v>Live browser/API</x:v>
      </x:c>
      <x:c r="G111" s="3" t="str">
        <x:v>Open a well-formed but non-existent problem UUID</x:v>
      </x:c>
      <x:c r="H111" s="3" t="str"/>
      <x:c r="I111" s="3" t="str">
        <x:v>A 404 response yields a clear not-found message and a return action</x:v>
      </x:c>
      <x:c r="J111" s="3" t="str">
        <x:v>After HTTP 404, page text=Loading problem details...</x:v>
      </x:c>
      <x:c r="K111" s="3" t="str">
        <x:v>B030</x:v>
      </x:c>
      <x:c r="L111" s="3" t="str">
        <x:v>client/src/componets/Problem/ProblemShow.jsx</x:v>
      </x:c>
      <x:c r="M111" s="3" t="str">
        <x:v>evidence/browser-live-results.json</x:v>
      </x:c>
      <x:c r="N111" s="10" t="str">
        <x:v>Passed</x:v>
      </x:c>
      <x:c r="O111" s="10" t="str">
        <x:v>Codex</x:v>
      </x:c>
      <x:c r="P111" s="10" t="str">
        <x:v>14 Oct 2026 — 404 has a clear missing state and return action</x:v>
      </x:c>
    </x:row>
    <x:row r="112" ht="118" customHeight="1">
      <x:c r="A112" s="3" t="str">
        <x:v>UI-A05</x:v>
      </x:c>
      <x:c r="B112" s="3" t="str">
        <x:v>Failed</x:v>
      </x:c>
      <x:c r="C112" s="3" t="str">
        <x:v>Authentication and sessions</x:v>
      </x:c>
      <x:c r="D112" s="3" t="str">
        <x:v>Expired session is handled during navigation</x:v>
      </x:c>
      <x:c r="E112" s="3" t="str">
        <x:v>Student</x:v>
      </x:c>
      <x:c r="F112" s="3" t="str">
        <x:v>Browser with injected API 401</x:v>
      </x:c>
      <x:c r="G112" s="3" t="str">
        <x:v>Inject a controlled 401 for the next history request while navigating in an existing session</x:v>
      </x:c>
      <x:c r="H112" s="3" t="str"/>
      <x:c r="I112" s="3" t="str">
        <x:v>An HTTP 401 redirects to login or offers reauthentication</x:v>
      </x:c>
      <x:c r="J112" s="3" t="str">
        <x:v>URL after API 401=http://localhost:5173/history; page=Submission History
Complete record of your code submissions
Error Loading History
Failed to load submission history. Please try again.</x:v>
      </x:c>
      <x:c r="K112" s="3" t="str">
        <x:v>B031</x:v>
      </x:c>
      <x:c r="L112" s="3" t="str">
        <x:v>client/src/utils/axiosInstance.js</x:v>
      </x:c>
      <x:c r="M112" s="3" t="str">
        <x:v>evidence/browser-live-results.json</x:v>
      </x:c>
      <x:c r="N112" s="10" t="str">
        <x:v>Passed</x:v>
      </x:c>
      <x:c r="O112" s="10" t="str">
        <x:v>Codex</x:v>
      </x:c>
      <x:c r="P112" s="10" t="str">
        <x:v>14 Oct 2026 — Injected 401 clears local auth and returns to login
14 Oct 2026 — Injected 401 clears the HTTP-only token cookie and local auth before returning to login; late responses are guarded by auth generation.</x:v>
      </x:c>
    </x:row>
    <x:row r="113" ht="66" customHeight="1">
      <x:c r="A113" s="3" t="str">
        <x:v>UI-A06</x:v>
      </x:c>
      <x:c r="B113" s="3" t="str">
        <x:v>Passed</x:v>
      </x:c>
      <x:c r="C113" s="3" t="str">
        <x:v>Role permissions</x:v>
      </x:c>
      <x:c r="D113" s="3" t="str">
        <x:v>Unauthenticated deep link returns to login</x:v>
      </x:c>
      <x:c r="E113" s="3" t="str">
        <x:v>Guest</x:v>
      </x:c>
      <x:c r="F113" s="3" t="str">
        <x:v>Live browser/API</x:v>
      </x:c>
      <x:c r="G113" s="3" t="str">
        <x:v>Open /profile in a clean browser context</x:v>
      </x:c>
      <x:c r="H113" s="3" t="str"/>
      <x:c r="I113" s="3" t="str">
        <x:v>Login rendered; no private profile content</x:v>
      </x:c>
      <x:c r="J113" s="3" t="str">
        <x:v>URL=http://localhost:5173/</x:v>
      </x:c>
      <x:c r="K113" s="3" t="str"/>
      <x:c r="L113" s="3" t="str"/>
      <x:c r="M113" s="3" t="str">
        <x:v>evidence/browser-live-results.json</x:v>
      </x:c>
      <x:c r="N113" s="10" t="str">
        <x:v>Not run</x:v>
      </x:c>
      <x:c r="O113" s="10" t="str"/>
      <x:c r="P113" s="10" t="str"/>
    </x:row>
    <x:row r="114" ht="66" customHeight="1">
      <x:c r="A114" s="3" t="str">
        <x:v>LIVE-X01</x:v>
      </x:c>
      <x:c r="B114" s="3" t="str">
        <x:v>Passed</x:v>
      </x:c>
      <x:c r="C114" s="3" t="str">
        <x:v>Rankings and exports</x:v>
      </x:c>
      <x:c r="D114" s="3" t="str">
        <x:v>Excel rankings export downloads successfully</x:v>
      </x:c>
      <x:c r="E114" s="3" t="str">
        <x:v>Faculty</x:v>
      </x:c>
      <x:c r="F114" s="3" t="str">
        <x:v>Live browser/API</x:v>
      </x:c>
      <x:c r="G114" s="3" t="str">
        <x:v>Owner opens populated assessment dashboard → Excel</x:v>
      </x:c>
      <x:c r="H114" s="3" t="str"/>
      <x:c r="I114" s="3" t="str">
        <x:v>Non-empty XLSX file downloads with current ranking data</x:v>
      </x:c>
      <x:c r="J114" s="3" t="str">
        <x:v>Downloaded XLSX: 16560 bytes</x:v>
      </x:c>
      <x:c r="K114" s="3" t="str"/>
      <x:c r="L114" s="3" t="str"/>
      <x:c r="M114" s="3" t="str">
        <x:v>evidence/browser-live-results.json</x:v>
      </x:c>
      <x:c r="N114" s="10" t="str">
        <x:v>Not run</x:v>
      </x:c>
      <x:c r="O114" s="10" t="str"/>
      <x:c r="P114" s="10" t="str"/>
    </x:row>
    <x:row r="115" ht="66" customHeight="1">
      <x:c r="A115" s="3" t="str">
        <x:v>LIVE-X02</x:v>
      </x:c>
      <x:c r="B115" s="3" t="str">
        <x:v>Passed</x:v>
      </x:c>
      <x:c r="C115" s="3" t="str">
        <x:v>Rankings and exports</x:v>
      </x:c>
      <x:c r="D115" s="3" t="str">
        <x:v>PDF rankings export downloads successfully</x:v>
      </x:c>
      <x:c r="E115" s="3" t="str">
        <x:v>Faculty</x:v>
      </x:c>
      <x:c r="F115" s="3" t="str">
        <x:v>Live browser/API</x:v>
      </x:c>
      <x:c r="G115" s="3" t="str">
        <x:v>Owner opens populated assessment dashboard → PDF</x:v>
      </x:c>
      <x:c r="H115" s="3" t="str"/>
      <x:c r="I115" s="3" t="str">
        <x:v>Non-empty PDF file downloads with current ranking data</x:v>
      </x:c>
      <x:c r="J115" s="3" t="str">
        <x:v>Downloaded PDF: 7584 bytes</x:v>
      </x:c>
      <x:c r="K115" s="3" t="str"/>
      <x:c r="L115" s="3" t="str"/>
      <x:c r="M115" s="3" t="str">
        <x:v>evidence/browser-live-results.json</x:v>
      </x:c>
      <x:c r="N115" s="10" t="str">
        <x:v>Not run</x:v>
      </x:c>
      <x:c r="O115" s="10" t="str"/>
      <x:c r="P115" s="10" t="str"/>
    </x:row>
    <x:row r="116" ht="66" customHeight="1">
      <x:c r="A116" s="3" t="str">
        <x:v>LIVE-REG01</x:v>
      </x:c>
      <x:c r="B116" s="3" t="str">
        <x:v>Passed</x:v>
      </x:c>
      <x:c r="C116" s="3" t="str">
        <x:v>Registration and approval</x:v>
      </x:c>
      <x:c r="D116" s="3" t="str">
        <x:v>New student self-registration creates a pending request</x:v>
      </x:c>
      <x:c r="E116" s="3" t="str">
        <x:v>Guest</x:v>
      </x:c>
      <x:c r="F116" s="3" t="str">
        <x:v>Live browser/API</x:v>
      </x:c>
      <x:c r="G116" s="3" t="str">
        <x:v>POST a valid student registration associated with the temporary faculty</x:v>
      </x:c>
      <x:c r="H116" s="3" t="str"/>
      <x:c r="I116" s="3" t="str">
        <x:v>HTTP 201 with approval pending</x:v>
      </x:c>
      <x:c r="J116" s="3" t="str">
        <x:v>HTTP 201; success=true</x:v>
      </x:c>
      <x:c r="K116" s="3" t="str"/>
      <x:c r="L116" s="3" t="str"/>
      <x:c r="M116" s="3" t="str">
        <x:v>evidence/browser-live-results.json</x:v>
      </x:c>
      <x:c r="N116" s="10" t="str">
        <x:v>Not run</x:v>
      </x:c>
      <x:c r="O116" s="10" t="str"/>
      <x:c r="P116" s="10" t="str"/>
    </x:row>
    <x:row r="117" ht="66" customHeight="1">
      <x:c r="A117" s="3" t="str">
        <x:v>LIVE-REG02</x:v>
      </x:c>
      <x:c r="B117" s="3" t="str">
        <x:v>Passed</x:v>
      </x:c>
      <x:c r="C117" s="3" t="str">
        <x:v>Registration and approval</x:v>
      </x:c>
      <x:c r="D117" s="3" t="str">
        <x:v>Owner faculty approves the pending student</x:v>
      </x:c>
      <x:c r="E117" s="3" t="str">
        <x:v>Faculty</x:v>
      </x:c>
      <x:c r="F117" s="3" t="str">
        <x:v>Live browser/API</x:v>
      </x:c>
      <x:c r="G117" s="3" t="str">
        <x:v>Owner faculty finds its pending test student and accepts the request</x:v>
      </x:c>
      <x:c r="H117" s="3" t="str"/>
      <x:c r="I117" s="3" t="str">
        <x:v>HTTP 200 with the student approved</x:v>
      </x:c>
      <x:c r="J117" s="3" t="str">
        <x:v>HTTP 200</x:v>
      </x:c>
      <x:c r="K117" s="3" t="str"/>
      <x:c r="L117" s="3" t="str"/>
      <x:c r="M117" s="3" t="str">
        <x:v>evidence/browser-live-results.json</x:v>
      </x:c>
      <x:c r="N117" s="10" t="str">
        <x:v>Not run</x:v>
      </x:c>
      <x:c r="O117" s="10" t="str"/>
      <x:c r="P117" s="10" t="str"/>
    </x:row>
    <x:row r="118" ht="66" customHeight="1">
      <x:c r="A118" s="3" t="str">
        <x:v>LIVE-REG03</x:v>
      </x:c>
      <x:c r="B118" s="3" t="str">
        <x:v>Passed</x:v>
      </x:c>
      <x:c r="C118" s="3" t="str">
        <x:v>Registration and approval</x:v>
      </x:c>
      <x:c r="D118" s="3" t="str">
        <x:v>First login requests a password change</x:v>
      </x:c>
      <x:c r="E118" s="3" t="str">
        <x:v>Student</x:v>
      </x:c>
      <x:c r="F118" s="3" t="str">
        <x:v>Live browser/API</x:v>
      </x:c>
      <x:c r="G118" s="3" t="str">
        <x:v>Newly approved test student logs in with the existing initial-password policy</x:v>
      </x:c>
      <x:c r="H118" s="3" t="str"/>
      <x:c r="I118" s="3" t="str">
        <x:v>firstTimeLogin=true, without granting an ordinary session</x:v>
      </x:c>
      <x:c r="J118" s="3" t="str">
        <x:v>HTTP 200; firstTimeLogin=true</x:v>
      </x:c>
      <x:c r="K118" s="3" t="str"/>
      <x:c r="L118" s="3" t="str"/>
      <x:c r="M118" s="3" t="str">
        <x:v>evidence/browser-live-results.json</x:v>
      </x:c>
      <x:c r="N118" s="10" t="str">
        <x:v>Not run</x:v>
      </x:c>
      <x:c r="O118" s="10" t="str"/>
      <x:c r="P118" s="10" t="str"/>
    </x:row>
    <x:row r="119" ht="66" customHeight="1">
      <x:c r="A119" s="3" t="str">
        <x:v>LIVE-REG04</x:v>
      </x:c>
      <x:c r="B119" s="3" t="str">
        <x:v>Passed</x:v>
      </x:c>
      <x:c r="C119" s="3" t="str">
        <x:v>Registration and approval</x:v>
      </x:c>
      <x:c r="D119" s="3" t="str">
        <x:v>Student completes first-login password change</x:v>
      </x:c>
      <x:c r="E119" s="3" t="str">
        <x:v>Student</x:v>
      </x:c>
      <x:c r="F119" s="3" t="str">
        <x:v>Live browser/API</x:v>
      </x:c>
      <x:c r="G119" s="3" t="str">
        <x:v>Change the approved test account password and sign in with the replacement</x:v>
      </x:c>
      <x:c r="H119" s="3" t="str"/>
      <x:c r="I119" s="3" t="str">
        <x:v>Strong password accepted and new password signs in</x:v>
      </x:c>
      <x:c r="J119" s="3" t="str">
        <x:v>Password change HTTP 200; new login success=true</x:v>
      </x:c>
      <x:c r="K119" s="3" t="str"/>
      <x:c r="L119" s="3" t="str"/>
      <x:c r="M119" s="3" t="str">
        <x:v>evidence/browser-live-results.json</x:v>
      </x:c>
      <x:c r="N119" s="10" t="str">
        <x:v>Not run</x:v>
      </x:c>
      <x:c r="O119" s="10" t="str"/>
      <x:c r="P119" s="10" t="str"/>
    </x:row>
    <x:row r="120" ht="66" customHeight="1">
      <x:c r="A120" s="3" t="str">
        <x:v>UI-PR04</x:v>
      </x:c>
      <x:c r="B120" s="3" t="str">
        <x:v>Failed</x:v>
      </x:c>
      <x:c r="C120" s="3" t="str">
        <x:v>Profile</x:v>
      </x:c>
      <x:c r="D120" s="3" t="str">
        <x:v>Accounts without email can edit their otherwise valid profile</x:v>
      </x:c>
      <x:c r="E120" s="3" t="str">
        <x:v>Admin</x:v>
      </x:c>
      <x:c r="F120" s="3" t="str">
        <x:v>Live browser/API</x:v>
      </x:c>
      <x:c r="G120" s="3" t="str">
        <x:v>Use a temporary allowed account with email=null; edit its name and save</x:v>
      </x:c>
      <x:c r="H120" s="3" t="str"/>
      <x:c r="I120" s="3" t="str">
        <x:v>Profile save succeeds or the user can add the required email</x:v>
      </x:c>
      <x:c r="J120" s="3" t="str">
        <x:v>Email blank=true; email read-only=true; saving shows Username and email are required</x:v>
      </x:c>
      <x:c r="K120" s="3" t="str">
        <x:v>B025</x:v>
      </x:c>
      <x:c r="L120" s="3" t="str">
        <x:v>client/src/componets/Profile/Profile.jsx / ProfileRight.jsx</x:v>
      </x:c>
      <x:c r="M120" s="3" t="str">
        <x:v>evidence/browser-live-results.json</x:v>
      </x:c>
      <x:c r="N120" s="10" t="str">
        <x:v>Passed</x:v>
      </x:c>
      <x:c r="O120" s="10" t="str">
        <x:v>Codex</x:v>
      </x:c>
      <x:c r="P120" s="10" t="str">
        <x:v>14 Oct 2026 — Email-null account saved its valid profile change</x:v>
      </x:c>
    </x:row>
    <x:row r="121" ht="66" customHeight="1">
      <x:c r="A121" s="3" t="str">
        <x:v>UI-R01</x:v>
      </x:c>
      <x:c r="B121" s="3" t="str">
        <x:v>Failed</x:v>
      </x:c>
      <x:c r="C121" s="3" t="str">
        <x:v>Role permissions</x:v>
      </x:c>
      <x:c r="D121" s="3" t="str">
        <x:v>Student deep-link to administration displays an access-denied screen</x:v>
      </x:c>
      <x:c r="E121" s="3" t="str">
        <x:v>Student</x:v>
      </x:c>
      <x:c r="F121" s="3" t="str">
        <x:v>Live browser/API</x:v>
      </x:c>
      <x:c r="G121" s="3" t="str">
        <x:v>As a student, directly open /session-management</x:v>
      </x:c>
      <x:c r="H121" s="3" t="str"/>
      <x:c r="I121" s="3" t="str">
        <x:v>Staff-only page is blocked in the UI before showing staff actions</x:v>
      </x:c>
      <x:c r="J121" s="3" t="str">
        <x:v>Backend request HTTP 403; staff Session Management heading still rendered for a student</x:v>
      </x:c>
      <x:c r="K121" s="3" t="str">
        <x:v>B032</x:v>
      </x:c>
      <x:c r="L121" s="3" t="str">
        <x:v>client/src/componets/Layout.jsx</x:v>
      </x:c>
      <x:c r="M121" s="3" t="str">
        <x:v>evidence/browser-live-results.json</x:v>
      </x:c>
      <x:c r="N121" s="10" t="str">
        <x:v>Passed</x:v>
      </x:c>
      <x:c r="O121" s="10" t="str">
        <x:v>Codex</x:v>
      </x:c>
      <x:c r="P121" s="10" t="str">
        <x:v>14 Oct 2026 — Student gets Access denied; staff component/API request never mounts</x:v>
      </x:c>
    </x:row>
    <x:row r="122" ht="66" customHeight="1">
      <x:c r="A122" s="3" t="str">
        <x:v>UI-S02</x:v>
      </x:c>
      <x:c r="B122" s="3" t="str">
        <x:v>Failed</x:v>
      </x:c>
      <x:c r="C122" s="3" t="str">
        <x:v>History and submissions</x:v>
      </x:c>
      <x:c r="D122" s="3" t="str">
        <x:v>Missing submission status is not replaced by a fabricated result</x:v>
      </x:c>
      <x:c r="E122" s="3" t="str">
        <x:v>Student</x:v>
      </x:c>
      <x:c r="F122" s="3" t="str">
        <x:v>Browser with injected missing status</x:v>
      </x:c>
      <x:c r="G122" s="3" t="str">
        <x:v>Inject a controlled null status in a real submission response, then open profile history</x:v>
      </x:c>
      <x:c r="H122" s="3" t="str"/>
      <x:c r="I122" s="3" t="str">
        <x:v>Missing status displays Unknown or a clear unavailable state</x:v>
      </x:c>
      <x:c r="J122" s="3" t="str">
        <x:v>Missing API status rendered as rejected</x:v>
      </x:c>
      <x:c r="K122" s="3" t="str">
        <x:v>B033</x:v>
      </x:c>
      <x:c r="L122" s="3" t="str">
        <x:v>client/src/componets/SubmissionPage.jsx:getRandomStatus</x:v>
      </x:c>
      <x:c r="M122" s="3" t="str">
        <x:v>evidence/browser-live-results.json</x:v>
      </x:c>
      <x:c r="N122" s="10" t="str">
        <x:v>Passed</x:v>
      </x:c>
      <x:c r="O122" s="10" t="str">
        <x:v>Codex</x:v>
      </x:c>
      <x:c r="P122" s="10" t="str">
        <x:v>14 Oct 2026 — Controlled missing status displays Unknown</x:v>
      </x:c>
    </x:row>
    <x:row r="123" ht="66" customHeight="1">
      <x:c r="A123" s="3" t="str">
        <x:v>UI-E04</x:v>
      </x:c>
      <x:c r="B123" s="3" t="str">
        <x:v>Failed</x:v>
      </x:c>
      <x:c r="C123" s="3" t="str">
        <x:v>Code editor</x:v>
      </x:c>
      <x:c r="D123" s="3" t="str">
        <x:v>Draft save action has the correct label</x:v>
      </x:c>
      <x:c r="E123" s="3" t="str">
        <x:v>Student</x:v>
      </x:c>
      <x:c r="F123" s="3" t="str">
        <x:v>Live browser/API</x:v>
      </x:c>
      <x:c r="G123" s="3" t="str">
        <x:v>Open any problem and inspect the draft save button</x:v>
      </x:c>
      <x:c r="H123" s="3" t="str"/>
      <x:c r="I123" s="3" t="str">
        <x:v>Save Code</x:v>
      </x:c>
      <x:c r="J123" s="3" t="str">
        <x:v>Actual button text: Save Codez</x:v>
      </x:c>
      <x:c r="K123" s="3" t="str">
        <x:v>B037</x:v>
      </x:c>
      <x:c r="L123" s="3" t="str">
        <x:v>client/src/componets/CodeEditor/TestCaseResults.jsx</x:v>
      </x:c>
      <x:c r="M123" s="3" t="str">
        <x:v>evidence/browser-live-results.json</x:v>
      </x:c>
      <x:c r="N123" s="10" t="str">
        <x:v>Passed</x:v>
      </x:c>
      <x:c r="O123" s="10" t="str">
        <x:v>Codex</x:v>
      </x:c>
      <x:c r="P123" s="10" t="str">
        <x:v>14 Oct 2026 — Save Code label is correct</x:v>
      </x:c>
    </x:row>
    <x:row r="124" ht="66" customHeight="1">
      <x:c r="A124" s="3" t="str">
        <x:v>LIVE-C01</x:v>
      </x:c>
      <x:c r="B124" s="3" t="str">
        <x:v>Passed</x:v>
      </x:c>
      <x:c r="C124" s="3" t="str">
        <x:v>Assessment scheduling</x:v>
      </x:c>
      <x:c r="D124" s="3" t="str">
        <x:v>Create an assessment through the three-step UI wizard</x:v>
      </x:c>
      <x:c r="E124" s="3" t="str">
        <x:v>Faculty</x:v>
      </x:c>
      <x:c r="F124" s="3" t="str">
        <x:v>Live browser/API</x:v>
      </x:c>
      <x:c r="G124" s="3" t="str">
        <x:v>Details → select the QA problem → IST 15 Oct 09:00–10:00 → Continue to participants</x:v>
      </x:c>
      <x:c r="H124" s="3" t="str"/>
      <x:c r="I124" s="3" t="str">
        <x:v>Assessment persists with the selected problem and a correct UTC conversion</x:v>
      </x:c>
      <x:c r="J124" s="3" t="str">
        <x:v>HTTP 201; opening=2026-10-15T03:30:00Z; closing=2026-10-15T04:30:00Z; problem count=1</x:v>
      </x:c>
      <x:c r="K124" s="3" t="str"/>
      <x:c r="L124" s="3" t="str"/>
      <x:c r="M124" s="3" t="str">
        <x:v>evidence/browser-live-results.json</x:v>
      </x:c>
      <x:c r="N124" s="10" t="str">
        <x:v>Not run</x:v>
      </x:c>
      <x:c r="O124" s="10" t="str"/>
      <x:c r="P124" s="10" t="str"/>
    </x:row>
    <x:row r="125" ht="66" customHeight="1">
      <x:c r="A125" s="3" t="str">
        <x:v>LIVE-C02</x:v>
      </x:c>
      <x:c r="B125" s="3" t="str">
        <x:v>Passed</x:v>
      </x:c>
      <x:c r="C125" s="3" t="str">
        <x:v>Assessment assignment</x:v>
      </x:c>
      <x:c r="D125" s="3" t="str">
        <x:v>Assign a scheduled assessment to a selected student</x:v>
      </x:c>
      <x:c r="E125" s="3" t="str">
        <x:v>Faculty</x:v>
      </x:c>
      <x:c r="F125" s="3" t="str">
        <x:v>Live browser/API</x:v>
      </x:c>
      <x:c r="G125" s="3" t="str">
        <x:v>POST assignment containing only the temporary QA student ID</x:v>
      </x:c>
      <x:c r="H125" s="3" t="str"/>
      <x:c r="I125" s="3" t="str">
        <x:v>Student ID appears in assignedStudents</x:v>
      </x:c>
      <x:c r="J125" s="3" t="str">
        <x:v>HTTP 200; assigned student present=true</x:v>
      </x:c>
      <x:c r="K125" s="3" t="str"/>
      <x:c r="L125" s="3" t="str"/>
      <x:c r="M125" s="3" t="str">
        <x:v>evidence/browser-live-results.json</x:v>
      </x:c>
      <x:c r="N125" s="10" t="str">
        <x:v>Not run</x:v>
      </x:c>
      <x:c r="O125" s="10" t="str"/>
      <x:c r="P125" s="10" t="str"/>
    </x:row>
    <x:row r="126" ht="66" customHeight="1">
      <x:c r="A126" s="3" t="str">
        <x:v>UI-F02</x:v>
      </x:c>
      <x:c r="B126" s="3" t="str">
        <x:v>Failed</x:v>
      </x:c>
      <x:c r="C126" s="3" t="str">
        <x:v>Student management</x:v>
      </x:c>
      <x:c r="D126" s="3" t="str">
        <x:v>Failed bulk-registration rows remain available for correction</x:v>
      </x:c>
      <x:c r="E126" s="3" t="str">
        <x:v>Faculty</x:v>
      </x:c>
      <x:c r="F126" s="3" t="str">
        <x:v>Live browser/API</x:v>
      </x:c>
      <x:c r="G126" s="3" t="str">
        <x:v>Add the existing QA student to the import list; select it and register; inspect the failed row</x:v>
      </x:c>
      <x:c r="H126" s="3" t="str"/>
      <x:c r="I126" s="3" t="str">
        <x:v>Duplicate row stays in the list with its validation error</x:v>
      </x:c>
      <x:c r="J126" s="3" t="str">
        <x:v>Server error count=1; remaining rows=0</x:v>
      </x:c>
      <x:c r="K126" s="3" t="str">
        <x:v>B034</x:v>
      </x:c>
      <x:c r="L126" s="3" t="str">
        <x:v>client/src/componets/Faculty/StudentRegister.jsx:handleRegisterSelected</x:v>
      </x:c>
      <x:c r="M126" s="3" t="str">
        <x:v>evidence/browser-live-results.json</x:v>
      </x:c>
      <x:c r="N126" s="10" t="str">
        <x:v>Passed</x:v>
      </x:c>
      <x:c r="O126" s="10" t="str">
        <x:v>Codex</x:v>
      </x:c>
      <x:c r="P126" s="10" t="str">
        <x:v>14 Oct 2026 — Duplicate row is retained with its backend error</x:v>
      </x:c>
    </x:row>
    <x:row r="127" ht="66" customHeight="1">
      <x:c r="A127" s="3" t="str">
        <x:v>LIVE-F01</x:v>
      </x:c>
      <x:c r="B127" s="3" t="str">
        <x:v>Passed</x:v>
      </x:c>
      <x:c r="C127" s="3" t="str">
        <x:v>Student management</x:v>
      </x:c>
      <x:c r="D127" s="3" t="str">
        <x:v>Valid single student enters the bulk-registration workflow</x:v>
      </x:c>
      <x:c r="E127" s="3" t="str">
        <x:v>Faculty</x:v>
      </x:c>
      <x:c r="F127" s="3" t="str">
        <x:v>Live browser/API</x:v>
      </x:c>
      <x:c r="G127" s="3" t="str">
        <x:v>Add a new QA student through the modal; select it; Register Selected</x:v>
      </x:c>
      <x:c r="H127" s="3" t="str"/>
      <x:c r="I127" s="3" t="str">
        <x:v>One QA student created with no per-row errors</x:v>
      </x:c>
      <x:c r="J127" s="3" t="str">
        <x:v>HTTP 200; success rows=1; errors=0</x:v>
      </x:c>
      <x:c r="K127" s="3" t="str"/>
      <x:c r="L127" s="3" t="str"/>
      <x:c r="M127" s="3" t="str">
        <x:v>evidence/browser-live-results.json</x:v>
      </x:c>
      <x:c r="N127" s="10" t="str">
        <x:v>Not run</x:v>
      </x:c>
      <x:c r="O127" s="10" t="str"/>
      <x:c r="P127" s="10" t="str"/>
    </x:row>
    <x:row r="128" ht="66" customHeight="1">
      <x:c r="A128" s="3" t="str">
        <x:v>LIVE-E08</x:v>
      </x:c>
      <x:c r="B128" s="3" t="str">
        <x:v>Failed</x:v>
      </x:c>
      <x:c r="C128" s="3" t="str">
        <x:v>Code execution and grading</x:v>
      </x:c>
      <x:c r="D128" s="3" t="str">
        <x:v>Configured memory budget is enforced without silent expansion</x:v>
      </x:c>
      <x:c r="E128" s="3" t="str">
        <x:v>Student</x:v>
      </x:c>
      <x:c r="F128" s="3" t="str">
        <x:v>Live browser/API</x:v>
      </x:c>
      <x:c r="G128" s="3" t="str">
        <x:v>Owner creates a problem with an 8 MB case budget; student allocates 20 MB and prints the expected result</x:v>
      </x:c>
      <x:c r="H128" s="3" t="str"/>
      <x:c r="I128" s="3" t="str">
        <x:v>An 8 MB configuration rejects an execution using more than 8 MB or is explicitly rejected at configuration time</x:v>
      </x:c>
      <x:c r="J128" s="3" t="str">
        <x:v>Configured=8 MB; execution average memory=23.10 MB; allPassed=true; awarded marks=10</x:v>
      </x:c>
      <x:c r="K128" s="3" t="str">
        <x:v>B008</x:v>
      </x:c>
      <x:c r="L128" s="3" t="str">
        <x:v>apps/execution/services.py:execute_test_cases memory clamping</x:v>
      </x:c>
      <x:c r="M128" s="3" t="str">
        <x:v>evidence/browser-live-results.json</x:v>
      </x:c>
      <x:c r="N128" s="10" t="str">
        <x:v>Passed</x:v>
      </x:c>
      <x:c r="O128" s="10" t="str">
        <x:v>Codex</x:v>
      </x:c>
      <x:c r="P128" s="10" t="str">
        <x:v>14 Oct 2026 — 8 MB budget rejected 20 MB allocation with zero marks</x:v>
      </x:c>
    </x:row>
    <x:row r="129" ht="66" customHeight="1">
      <x:c r="A129" s="3" t="str">
        <x:v>ENG-01</x:v>
      </x:c>
      <x:c r="B129" s="3" t="str">
        <x:v>Failed</x:v>
      </x:c>
      <x:c r="C129" s="3" t="str">
        <x:v>Code quality</x:v>
      </x:c>
      <x:c r="D129" s="3" t="str">
        <x:v>Full client lint check</x:v>
      </x:c>
      <x:c r="E129" s="3" t="str">
        <x:v>Developer</x:v>
      </x:c>
      <x:c r="F129" s="3" t="str">
        <x:v>Static lint</x:v>
      </x:c>
      <x:c r="G129" s="3" t="str">
        <x:v>Run ESLint over the client and preserve its JSON output</x:v>
      </x:c>
      <x:c r="H129" s="3" t="str">
        <x:v>77 client files</x:v>
      </x:c>
      <x:c r="I129" s="3" t="str">
        <x:v>No unresolved lint errors</x:v>
      </x:c>
      <x:c r="J129" s="3" t="str">
        <x:v>240 errors and 11 warnings in 52 of 77 files. Includes unused legacy components and configuration issues; not all are runtime defects.</x:v>
      </x:c>
      <x:c r="K129" s="3" t="str">
        <x:v>B038</x:v>
      </x:c>
      <x:c r="L129" s="3" t="str">
        <x:v>evidence/eslint.json</x:v>
      </x:c>
      <x:c r="M129" s="3" t="str">
        <x:v>evidence/eslint.json</x:v>
      </x:c>
      <x:c r="N129" s="10" t="str">
        <x:v>Passed</x:v>
      </x:c>
      <x:c r="O129" s="10" t="str">
        <x:v>Codex</x:v>
      </x:c>
      <x:c r="P129" s="10" t="str">
        <x:v>14 Oct 2026 — Full client lint: 80 files; zero errors and zero warnings.</x:v>
      </x:c>
    </x:row>
    <x:row r="130" ht="67" customHeight="1">
      <x:c r="A130" s="3" t="str">
        <x:v>ENV-01</x:v>
      </x:c>
      <x:c r="B130" s="3" t="str">
        <x:v>Passed</x:v>
      </x:c>
      <x:c r="C130" s="3" t="str">
        <x:v>Environment</x:v>
      </x:c>
      <x:c r="D130" s="3" t="str">
        <x:v>Application login after port migration</x:v>
      </x:c>
      <x:c r="E130" s="3" t="str">
        <x:v>Admin</x:v>
      </x:c>
      <x:c r="F130" s="3" t="str">
        <x:v>Live browser/API</x:v>
      </x:c>
      <x:c r="G130" s="3" t="str">
        <x:v>Open localhost:5185 and log in with the configured local admin</x:v>
      </x:c>
      <x:c r="H130" s="3" t="str">
        <x:v>Frontend 5185; API 3185/8185</x:v>
      </x:c>
      <x:c r="I130" s="3" t="str">
        <x:v>Login returns 200 and opens /browse</x:v>
      </x:c>
      <x:c r="J130" s="3" t="str">
        <x:v>HTTP 200; browser reached /browse and displayed Coming up. Docker mappings verified.</x:v>
      </x:c>
      <x:c r="K130" s="3" t="str"/>
      <x:c r="L130" s="3" t="str">
        <x:v>client/scripts/verify-login.cjs; docker compose ps</x:v>
      </x:c>
      <x:c r="M130" s="3" t="str">
        <x:v>client/scripts/verify-login.cjs; docker compose ps</x:v>
      </x:c>
      <x:c r="N130" s="10" t="str">
        <x:v>Passed</x:v>
      </x:c>
      <x:c r="O130" s="10" t="str">
        <x:v>Codex</x:v>
      </x:c>
      <x:c r="P130" s="10" t="str">
        <x:v>14 Oct 2026 — Login smoke passed after the port change. API and frontend remain on 3185/8185 and 5185.</x:v>
      </x:c>
    </x:row>
    <x:row r="131" ht="80" customHeight="1">
      <x:c r="A131" s="3" t="str">
        <x:v>REGRESSION-001</x:v>
      </x:c>
      <x:c r="B131" s="3" t="str">
        <x:v>Passed</x:v>
      </x:c>
      <x:c r="C131" s="3" t="str">
        <x:v>code_drafts</x:v>
      </x:c>
      <x:c r="D131" s="3" t="str">
        <x:v>save and get code draft</x:v>
      </x:c>
      <x:c r="E131" s="3" t="str">
        <x:v>As defined in test fixture</x:v>
      </x:c>
      <x:c r="F131" s="3" t="str">
        <x:v>Backend regression (isolated DB; mocks where defined)</x:v>
      </x:c>
      <x:c r="G131" s="3" t="str">
        <x:v>Execute pytest test apps.code_drafts.tests.test_code_drafts.TestCodeDraftsAPI::test_save_and_get_code_draft</x:v>
      </x:c>
      <x:c r="H131" s="3" t="str">
        <x:v>Fixtures and assertions in apps/code_drafts/tests/test_code_drafts.py</x:v>
      </x:c>
      <x:c r="I131" s="3" t="str">
        <x:v>All assertions in this existing regression test succeed</x:v>
      </x:c>
      <x:c r="J131" s="3" t="str">
        <x:v>Passed in 8.823 seconds</x:v>
      </x:c>
      <x:c r="K131" s="3" t="str"/>
      <x:c r="L131" s="3" t="str">
        <x:v>apps/code_drafts/tests/test_code_drafts.py</x:v>
      </x:c>
      <x:c r="M131" s="3" t="str">
        <x:v>evidence/backend-regression.xml</x:v>
      </x:c>
      <x:c r="N131" s="10" t="str">
        <x:v>Passed</x:v>
      </x:c>
      <x:c r="O131" s="10" t="str">
        <x:v>Codex</x:v>
      </x:c>
      <x:c r="P131" s="10" t="str">
        <x:v>14 Oct 2026 — Matching backend regression passed in the rebuilt service; secure onboarding assertions now verify chosen/random credentials.</x:v>
      </x:c>
    </x:row>
    <x:row r="132" ht="80" customHeight="1">
      <x:c r="A132" s="3" t="str">
        <x:v>REGRESSION-002</x:v>
      </x:c>
      <x:c r="B132" s="3" t="str">
        <x:v>Passed</x:v>
      </x:c>
      <x:c r="C132" s="3" t="str">
        <x:v>code_drafts</x:v>
      </x:c>
      <x:c r="D132" s="3" t="str">
        <x:v>update existing code draft</x:v>
      </x:c>
      <x:c r="E132" s="3" t="str">
        <x:v>As defined in test fixture</x:v>
      </x:c>
      <x:c r="F132" s="3" t="str">
        <x:v>Backend regression (isolated DB; mocks where defined)</x:v>
      </x:c>
      <x:c r="G132" s="3" t="str">
        <x:v>Execute pytest test apps.code_drafts.tests.test_code_drafts.TestCodeDraftsAPI::test_update_existing_code_draft</x:v>
      </x:c>
      <x:c r="H132" s="3" t="str">
        <x:v>Fixtures and assertions in apps/code_drafts/tests/test_code_drafts.py</x:v>
      </x:c>
      <x:c r="I132" s="3" t="str">
        <x:v>All assertions in this existing regression test succeed</x:v>
      </x:c>
      <x:c r="J132" s="3" t="str">
        <x:v>Passed in 0.282 seconds</x:v>
      </x:c>
      <x:c r="K132" s="3" t="str"/>
      <x:c r="L132" s="3" t="str">
        <x:v>apps/code_drafts/tests/test_code_drafts.py</x:v>
      </x:c>
      <x:c r="M132" s="3" t="str">
        <x:v>evidence/backend-regression.xml</x:v>
      </x:c>
      <x:c r="N132" s="10" t="str">
        <x:v>Passed</x:v>
      </x:c>
      <x:c r="O132" s="10" t="str">
        <x:v>Codex</x:v>
      </x:c>
      <x:c r="P132" s="10" t="str">
        <x:v>14 Oct 2026 — Matching backend regression passed in the rebuilt service; secure onboarding assertions now verify chosen/random credentials.</x:v>
      </x:c>
    </x:row>
    <x:row r="133" ht="80" customHeight="1">
      <x:c r="A133" s="3" t="str">
        <x:v>REGRESSION-003</x:v>
      </x:c>
      <x:c r="B133" s="3" t="str">
        <x:v>Passed</x:v>
      </x:c>
      <x:c r="C133" s="3" t="str">
        <x:v>contests</x:v>
      </x:c>
      <x:c r="D133" s="3" t="str">
        <x:v>create contest and status</x:v>
      </x:c>
      <x:c r="E133" s="3" t="str">
        <x:v>As defined in test fixture</x:v>
      </x:c>
      <x:c r="F133" s="3" t="str">
        <x:v>Backend regression (isolated DB; mocks where defined)</x:v>
      </x:c>
      <x:c r="G133" s="3" t="str">
        <x:v>Execute pytest test apps.contests.tests.test_contests::test_create_contest_and_status</x:v>
      </x:c>
      <x:c r="H133" s="3" t="str">
        <x:v>Fixtures and assertions in apps/contests/tests/test_contests.py</x:v>
      </x:c>
      <x:c r="I133" s="3" t="str">
        <x:v>All assertions in this existing regression test succeed</x:v>
      </x:c>
      <x:c r="J133" s="3" t="str">
        <x:v>Passed in 0.254 seconds</x:v>
      </x:c>
      <x:c r="K133" s="3" t="str"/>
      <x:c r="L133" s="3" t="str">
        <x:v>apps/contests/tests/test_contests.py</x:v>
      </x:c>
      <x:c r="M133" s="3" t="str">
        <x:v>evidence/backend-regression.xml</x:v>
      </x:c>
      <x:c r="N133" s="10" t="str">
        <x:v>Passed</x:v>
      </x:c>
      <x:c r="O133" s="10" t="str">
        <x:v>Codex</x:v>
      </x:c>
      <x:c r="P133" s="10" t="str">
        <x:v>14 Oct 2026 — Matching backend regression passed in the rebuilt service; secure onboarding assertions now verify chosen/random credentials.</x:v>
      </x:c>
    </x:row>
    <x:row r="134" ht="80" customHeight="1">
      <x:c r="A134" s="3" t="str">
        <x:v>REGRESSION-004</x:v>
      </x:c>
      <x:c r="B134" s="3" t="str">
        <x:v>Passed</x:v>
      </x:c>
      <x:c r="C134" s="3" t="str">
        <x:v>contests</x:v>
      </x:c>
      <x:c r="D134" s="3" t="str">
        <x:v>create contest invalid dates</x:v>
      </x:c>
      <x:c r="E134" s="3" t="str">
        <x:v>As defined in test fixture</x:v>
      </x:c>
      <x:c r="F134" s="3" t="str">
        <x:v>Backend regression (isolated DB; mocks where defined)</x:v>
      </x:c>
      <x:c r="G134" s="3" t="str">
        <x:v>Execute pytest test apps.contests.tests.test_contests::test_create_contest_invalid_dates</x:v>
      </x:c>
      <x:c r="H134" s="3" t="str">
        <x:v>Fixtures and assertions in apps/contests/tests/test_contests.py</x:v>
      </x:c>
      <x:c r="I134" s="3" t="str">
        <x:v>All assertions in this existing regression test succeed</x:v>
      </x:c>
      <x:c r="J134" s="3" t="str">
        <x:v>Passed in 0.183 seconds</x:v>
      </x:c>
      <x:c r="K134" s="3" t="str"/>
      <x:c r="L134" s="3" t="str">
        <x:v>apps/contests/tests/test_contests.py</x:v>
      </x:c>
      <x:c r="M134" s="3" t="str">
        <x:v>evidence/backend-regression.xml</x:v>
      </x:c>
      <x:c r="N134" s="10" t="str">
        <x:v>Passed</x:v>
      </x:c>
      <x:c r="O134" s="10" t="str">
        <x:v>Codex</x:v>
      </x:c>
      <x:c r="P134" s="10" t="str">
        <x:v>14 Oct 2026 — Matching backend regression passed in the rebuilt service; secure onboarding assertions now verify chosen/random credentials.</x:v>
      </x:c>
    </x:row>
    <x:row r="135" ht="80" customHeight="1">
      <x:c r="A135" s="3" t="str">
        <x:v>REGRESSION-005</x:v>
      </x:c>
      <x:c r="B135" s="3" t="str">
        <x:v>Passed</x:v>
      </x:c>
      <x:c r="C135" s="3" t="str">
        <x:v>contests</x:v>
      </x:c>
      <x:c r="D135" s="3" t="str">
        <x:v>get contests role filtering</x:v>
      </x:c>
      <x:c r="E135" s="3" t="str">
        <x:v>As defined in test fixture</x:v>
      </x:c>
      <x:c r="F135" s="3" t="str">
        <x:v>Backend regression (isolated DB; mocks where defined)</x:v>
      </x:c>
      <x:c r="G135" s="3" t="str">
        <x:v>Execute pytest test apps.contests.tests.test_contests::test_get_contests_role_filtering</x:v>
      </x:c>
      <x:c r="H135" s="3" t="str">
        <x:v>Fixtures and assertions in apps/contests/tests/test_contests.py</x:v>
      </x:c>
      <x:c r="I135" s="3" t="str">
        <x:v>All assertions in this existing regression test succeed</x:v>
      </x:c>
      <x:c r="J135" s="3" t="str">
        <x:v>Passed in 0.636 seconds</x:v>
      </x:c>
      <x:c r="K135" s="3" t="str"/>
      <x:c r="L135" s="3" t="str">
        <x:v>apps/contests/tests/test_contests.py</x:v>
      </x:c>
      <x:c r="M135" s="3" t="str">
        <x:v>evidence/backend-regression.xml</x:v>
      </x:c>
      <x:c r="N135" s="10" t="str">
        <x:v>Passed</x:v>
      </x:c>
      <x:c r="O135" s="10" t="str">
        <x:v>Codex</x:v>
      </x:c>
      <x:c r="P135" s="10" t="str">
        <x:v>14 Oct 2026 — Matching backend regression passed in the rebuilt service; secure onboarding assertions now verify chosen/random credentials.</x:v>
      </x:c>
    </x:row>
    <x:row r="136" ht="80" customHeight="1">
      <x:c r="A136" s="3" t="str">
        <x:v>REGRESSION-006</x:v>
      </x:c>
      <x:c r="B136" s="3" t="str">
        <x:v>Passed</x:v>
      </x:c>
      <x:c r="C136" s="3" t="str">
        <x:v>contests</x:v>
      </x:c>
      <x:c r="D136" s="3" t="str">
        <x:v>assign and unassign cascade</x:v>
      </x:c>
      <x:c r="E136" s="3" t="str">
        <x:v>As defined in test fixture</x:v>
      </x:c>
      <x:c r="F136" s="3" t="str">
        <x:v>Backend regression (isolated DB; mocks where defined)</x:v>
      </x:c>
      <x:c r="G136" s="3" t="str">
        <x:v>Execute pytest test apps.contests.tests.test_contests::test_assign_and_unassign_cascade</x:v>
      </x:c>
      <x:c r="H136" s="3" t="str">
        <x:v>Fixtures and assertions in apps/contests/tests/test_contests.py</x:v>
      </x:c>
      <x:c r="I136" s="3" t="str">
        <x:v>All assertions in this existing regression test succeed</x:v>
      </x:c>
      <x:c r="J136" s="3" t="str">
        <x:v>Passed in 0.502 seconds</x:v>
      </x:c>
      <x:c r="K136" s="3" t="str"/>
      <x:c r="L136" s="3" t="str">
        <x:v>apps/contests/tests/test_contests.py</x:v>
      </x:c>
      <x:c r="M136" s="3" t="str">
        <x:v>evidence/backend-regression.xml</x:v>
      </x:c>
      <x:c r="N136" s="10" t="str">
        <x:v>Passed</x:v>
      </x:c>
      <x:c r="O136" s="10" t="str">
        <x:v>Codex</x:v>
      </x:c>
      <x:c r="P136" s="10" t="str">
        <x:v>14 Oct 2026 — Matching backend regression passed in the rebuilt service; secure onboarding assertions now verify chosen/random credentials.</x:v>
      </x:c>
    </x:row>
    <x:row r="137" ht="80" customHeight="1">
      <x:c r="A137" s="3" t="str">
        <x:v>REGRESSION-007</x:v>
      </x:c>
      <x:c r="B137" s="3" t="str">
        <x:v>Passed</x:v>
      </x:c>
      <x:c r="C137" s="3" t="str">
        <x:v>contests</x:v>
      </x:c>
      <x:c r="D137" s="3" t="str">
        <x:v>delete contest cascade</x:v>
      </x:c>
      <x:c r="E137" s="3" t="str">
        <x:v>As defined in test fixture</x:v>
      </x:c>
      <x:c r="F137" s="3" t="str">
        <x:v>Backend regression (isolated DB; mocks where defined)</x:v>
      </x:c>
      <x:c r="G137" s="3" t="str">
        <x:v>Execute pytest test apps.contests.tests.test_contests::test_delete_contest_cascade</x:v>
      </x:c>
      <x:c r="H137" s="3" t="str">
        <x:v>Fixtures and assertions in apps/contests/tests/test_contests.py</x:v>
      </x:c>
      <x:c r="I137" s="3" t="str">
        <x:v>All assertions in this existing regression test succeed</x:v>
      </x:c>
      <x:c r="J137" s="3" t="str">
        <x:v>Passed in 0.480 seconds</x:v>
      </x:c>
      <x:c r="K137" s="3" t="str"/>
      <x:c r="L137" s="3" t="str">
        <x:v>apps/contests/tests/test_contests.py</x:v>
      </x:c>
      <x:c r="M137" s="3" t="str">
        <x:v>evidence/backend-regression.xml</x:v>
      </x:c>
      <x:c r="N137" s="10" t="str">
        <x:v>Passed</x:v>
      </x:c>
      <x:c r="O137" s="10" t="str">
        <x:v>Codex</x:v>
      </x:c>
      <x:c r="P137" s="10" t="str">
        <x:v>14 Oct 2026 — Matching backend regression passed in the rebuilt service; secure onboarding assertions now verify chosen/random credentials.</x:v>
      </x:c>
    </x:row>
    <x:row r="138" ht="80" customHeight="1">
      <x:c r="A138" s="3" t="str">
        <x:v>REGRESSION-008</x:v>
      </x:c>
      <x:c r="B138" s="3" t="str">
        <x:v>Passed</x:v>
      </x:c>
      <x:c r="C138" s="3" t="str">
        <x:v>contests</x:v>
      </x:c>
      <x:c r="D138" s="3" t="str">
        <x:v>contest dashboard</x:v>
      </x:c>
      <x:c r="E138" s="3" t="str">
        <x:v>As defined in test fixture</x:v>
      </x:c>
      <x:c r="F138" s="3" t="str">
        <x:v>Backend regression (isolated DB; mocks where defined)</x:v>
      </x:c>
      <x:c r="G138" s="3" t="str">
        <x:v>Execute pytest test apps.contests.tests.test_contests::test_contest_dashboard</x:v>
      </x:c>
      <x:c r="H138" s="3" t="str">
        <x:v>Fixtures and assertions in apps/contests/tests/test_contests.py</x:v>
      </x:c>
      <x:c r="I138" s="3" t="str">
        <x:v>All assertions in this existing regression test succeed</x:v>
      </x:c>
      <x:c r="J138" s="3" t="str">
        <x:v>Passed in 0.281 seconds</x:v>
      </x:c>
      <x:c r="K138" s="3" t="str"/>
      <x:c r="L138" s="3" t="str">
        <x:v>apps/contests/tests/test_contests.py</x:v>
      </x:c>
      <x:c r="M138" s="3" t="str">
        <x:v>evidence/backend-regression.xml</x:v>
      </x:c>
      <x:c r="N138" s="10" t="str">
        <x:v>Passed</x:v>
      </x:c>
      <x:c r="O138" s="10" t="str">
        <x:v>Codex</x:v>
      </x:c>
      <x:c r="P138" s="10" t="str">
        <x:v>14 Oct 2026 — Matching backend regression passed in the rebuilt service; secure onboarding assertions now verify chosen/random credentials.</x:v>
      </x:c>
    </x:row>
    <x:row r="139" ht="80" customHeight="1">
      <x:c r="A139" s="3" t="str">
        <x:v>REGRESSION-009</x:v>
      </x:c>
      <x:c r="B139" s="3" t="str">
        <x:v>Passed</x:v>
      </x:c>
      <x:c r="C139" s="3" t="str">
        <x:v>execution</x:v>
      </x:c>
      <x:c r="D139" s="3" t="str">
        <x:v>run code visible cases only no submission saved</x:v>
      </x:c>
      <x:c r="E139" s="3" t="str">
        <x:v>As defined in test fixture</x:v>
      </x:c>
      <x:c r="F139" s="3" t="str">
        <x:v>Backend regression (isolated DB; mocks where defined)</x:v>
      </x:c>
      <x:c r="G139" s="3" t="str">
        <x:v>Execute pytest test apps.execution.tests.test_execution.TestExecutionAPI::test_run_code_visible_cases_only_no_submission_saved</x:v>
      </x:c>
      <x:c r="H139" s="3" t="str">
        <x:v>Fixtures and assertions in apps/execution/tests/test_execution.py</x:v>
      </x:c>
      <x:c r="I139" s="3" t="str">
        <x:v>All assertions in this existing regression test succeed</x:v>
      </x:c>
      <x:c r="J139" s="3" t="str">
        <x:v>Passed in 0.270 seconds</x:v>
      </x:c>
      <x:c r="K139" s="3" t="str"/>
      <x:c r="L139" s="3" t="str">
        <x:v>apps/execution/tests/test_execution.py</x:v>
      </x:c>
      <x:c r="M139" s="3" t="str">
        <x:v>evidence/backend-regression.xml</x:v>
      </x:c>
      <x:c r="N139" s="10" t="str">
        <x:v>Passed</x:v>
      </x:c>
      <x:c r="O139" s="10" t="str">
        <x:v>Codex</x:v>
      </x:c>
      <x:c r="P139" s="10" t="str">
        <x:v>14 Oct 2026 — Matching backend regression passed in the rebuilt service; secure onboarding assertions now verify chosen/random credentials.</x:v>
      </x:c>
    </x:row>
    <x:row r="140" ht="80" customHeight="1">
      <x:c r="A140" s="3" t="str">
        <x:v>REGRESSION-010</x:v>
      </x:c>
      <x:c r="B140" s="3" t="str">
        <x:v>Passed</x:v>
      </x:c>
      <x:c r="C140" s="3" t="str">
        <x:v>execution</x:v>
      </x:c>
      <x:c r="D140" s="3" t="str">
        <x:v>submit code all cases saves submission and masks hidden</x:v>
      </x:c>
      <x:c r="E140" s="3" t="str">
        <x:v>As defined in test fixture</x:v>
      </x:c>
      <x:c r="F140" s="3" t="str">
        <x:v>Backend regression (isolated DB; mocks where defined)</x:v>
      </x:c>
      <x:c r="G140" s="3" t="str">
        <x:v>Execute pytest test apps.execution.tests.test_execution.TestExecutionAPI::test_submit_code_all_cases_saves_submission_and_masks_hidden</x:v>
      </x:c>
      <x:c r="H140" s="3" t="str">
        <x:v>Fixtures and assertions in apps/execution/tests/test_execution.py</x:v>
      </x:c>
      <x:c r="I140" s="3" t="str">
        <x:v>All assertions in this existing regression test succeed</x:v>
      </x:c>
      <x:c r="J140" s="3" t="str">
        <x:v>Passed in 0.315 seconds</x:v>
      </x:c>
      <x:c r="K140" s="3" t="str"/>
      <x:c r="L140" s="3" t="str">
        <x:v>apps/execution/tests/test_execution.py</x:v>
      </x:c>
      <x:c r="M140" s="3" t="str">
        <x:v>evidence/backend-regression.xml</x:v>
      </x:c>
      <x:c r="N140" s="10" t="str">
        <x:v>Passed</x:v>
      </x:c>
      <x:c r="O140" s="10" t="str">
        <x:v>Codex</x:v>
      </x:c>
      <x:c r="P140" s="10" t="str">
        <x:v>14 Oct 2026 — Matching backend regression passed in the rebuilt service; secure onboarding assertions now verify chosen/random credentials.</x:v>
      </x:c>
    </x:row>
    <x:row r="141" ht="80" customHeight="1">
      <x:c r="A141" s="3" t="str">
        <x:v>REGRESSION-011</x:v>
      </x:c>
      <x:c r="B141" s="3" t="str">
        <x:v>Passed</x:v>
      </x:c>
      <x:c r="C141" s="3" t="str">
        <x:v>execution</x:v>
      </x:c>
      <x:c r="D141" s="3" t="str">
        <x:v>unsupported language returns 400</x:v>
      </x:c>
      <x:c r="E141" s="3" t="str">
        <x:v>As defined in test fixture</x:v>
      </x:c>
      <x:c r="F141" s="3" t="str">
        <x:v>Backend regression (isolated DB; mocks where defined)</x:v>
      </x:c>
      <x:c r="G141" s="3" t="str">
        <x:v>Execute pytest test apps.execution.tests.test_execution.TestExecutionAPI::test_unsupported_language_returns_400</x:v>
      </x:c>
      <x:c r="H141" s="3" t="str">
        <x:v>Fixtures and assertions in apps/execution/tests/test_execution.py</x:v>
      </x:c>
      <x:c r="I141" s="3" t="str">
        <x:v>All assertions in this existing regression test succeed</x:v>
      </x:c>
      <x:c r="J141" s="3" t="str">
        <x:v>Passed in 0.207 seconds</x:v>
      </x:c>
      <x:c r="K141" s="3" t="str"/>
      <x:c r="L141" s="3" t="str">
        <x:v>apps/execution/tests/test_execution.py</x:v>
      </x:c>
      <x:c r="M141" s="3" t="str">
        <x:v>evidence/backend-regression.xml</x:v>
      </x:c>
      <x:c r="N141" s="10" t="str">
        <x:v>Passed</x:v>
      </x:c>
      <x:c r="O141" s="10" t="str">
        <x:v>Codex</x:v>
      </x:c>
      <x:c r="P141" s="10" t="str">
        <x:v>14 Oct 2026 — Matching backend regression passed in the rebuilt service; secure onboarding assertions now verify chosen/random credentials.</x:v>
      </x:c>
    </x:row>
    <x:row r="142" ht="80" customHeight="1">
      <x:c r="A142" s="3" t="str">
        <x:v>REGRESSION-012</x:v>
      </x:c>
      <x:c r="B142" s="3" t="str">
        <x:v>Passed</x:v>
      </x:c>
      <x:c r="C142" s="3" t="str">
        <x:v>execution</x:v>
      </x:c>
      <x:c r="D142" s="3" t="str">
        <x:v>queue status endpoint</x:v>
      </x:c>
      <x:c r="E142" s="3" t="str">
        <x:v>As defined in test fixture</x:v>
      </x:c>
      <x:c r="F142" s="3" t="str">
        <x:v>Backend regression (isolated DB; mocks where defined)</x:v>
      </x:c>
      <x:c r="G142" s="3" t="str">
        <x:v>Execute pytest test apps.execution.tests.test_execution.TestExecutionAPI::test_queue_status_endpoint</x:v>
      </x:c>
      <x:c r="H142" s="3" t="str">
        <x:v>Fixtures and assertions in apps/execution/tests/test_execution.py</x:v>
      </x:c>
      <x:c r="I142" s="3" t="str">
        <x:v>All assertions in this existing regression test succeed</x:v>
      </x:c>
      <x:c r="J142" s="3" t="str">
        <x:v>Passed in 0.210 seconds</x:v>
      </x:c>
      <x:c r="K142" s="3" t="str"/>
      <x:c r="L142" s="3" t="str">
        <x:v>apps/execution/tests/test_execution.py</x:v>
      </x:c>
      <x:c r="M142" s="3" t="str">
        <x:v>evidence/backend-regression.xml</x:v>
      </x:c>
      <x:c r="N142" s="10" t="str">
        <x:v>Passed</x:v>
      </x:c>
      <x:c r="O142" s="10" t="str">
        <x:v>Codex</x:v>
      </x:c>
      <x:c r="P142" s="10" t="str">
        <x:v>14 Oct 2026 — Matching backend regression passed in the rebuilt service; secure onboarding assertions now verify chosen/random credentials.</x:v>
      </x:c>
    </x:row>
    <x:row r="143" ht="80" customHeight="1">
      <x:c r="A143" s="3" t="str">
        <x:v>REGRESSION-013</x:v>
      </x:c>
      <x:c r="B143" s="3" t="str">
        <x:v>Passed</x:v>
      </x:c>
      <x:c r="C143" s="3" t="str">
        <x:v>execution</x:v>
      </x:c>
      <x:c r="D143" s="3" t="str">
        <x:v>process submission async</x:v>
      </x:c>
      <x:c r="E143" s="3" t="str">
        <x:v>As defined in test fixture</x:v>
      </x:c>
      <x:c r="F143" s="3" t="str">
        <x:v>Backend regression (isolated DB; mocks where defined)</x:v>
      </x:c>
      <x:c r="G143" s="3" t="str">
        <x:v>Execute pytest test apps.execution.tests.test_tasks::test_process_submission_async</x:v>
      </x:c>
      <x:c r="H143" s="3" t="str">
        <x:v>Fixtures and assertions in apps/execution/tests/test_tasks.py</x:v>
      </x:c>
      <x:c r="I143" s="3" t="str">
        <x:v>All assertions in this existing regression test succeed</x:v>
      </x:c>
      <x:c r="J143" s="3" t="str">
        <x:v>Passed in 0.313 seconds</x:v>
      </x:c>
      <x:c r="K143" s="3" t="str"/>
      <x:c r="L143" s="3" t="str">
        <x:v>apps/execution/tests/test_tasks.py</x:v>
      </x:c>
      <x:c r="M143" s="3" t="str">
        <x:v>evidence/backend-regression.xml</x:v>
      </x:c>
      <x:c r="N143" s="10" t="str">
        <x:v>Passed</x:v>
      </x:c>
      <x:c r="O143" s="10" t="str">
        <x:v>Codex</x:v>
      </x:c>
      <x:c r="P143" s="10" t="str">
        <x:v>14 Oct 2026 — Matching backend regression passed in the rebuilt service; secure onboarding assertions now verify chosen/random credentials.</x:v>
      </x:c>
    </x:row>
    <x:row r="144" ht="80" customHeight="1">
      <x:c r="A144" s="3" t="str">
        <x:v>REGRESSION-014</x:v>
      </x:c>
      <x:c r="B144" s="3" t="str">
        <x:v>Passed</x:v>
      </x:c>
      <x:c r="C144" s="3" t="str">
        <x:v>execution</x:v>
      </x:c>
      <x:c r="D144" s="3" t="str">
        <x:v>cleanup expired sessions</x:v>
      </x:c>
      <x:c r="E144" s="3" t="str">
        <x:v>As defined in test fixture</x:v>
      </x:c>
      <x:c r="F144" s="3" t="str">
        <x:v>Backend regression (isolated DB; mocks where defined)</x:v>
      </x:c>
      <x:c r="G144" s="3" t="str">
        <x:v>Execute pytest test apps.execution.tests.test_tasks::test_cleanup_expired_sessions</x:v>
      </x:c>
      <x:c r="H144" s="3" t="str">
        <x:v>Fixtures and assertions in apps/execution/tests/test_tasks.py</x:v>
      </x:c>
      <x:c r="I144" s="3" t="str">
        <x:v>All assertions in this existing regression test succeed</x:v>
      </x:c>
      <x:c r="J144" s="3" t="str">
        <x:v>Passed in 0.138 seconds</x:v>
      </x:c>
      <x:c r="K144" s="3" t="str"/>
      <x:c r="L144" s="3" t="str">
        <x:v>apps/execution/tests/test_tasks.py</x:v>
      </x:c>
      <x:c r="M144" s="3" t="str">
        <x:v>evidence/backend-regression.xml</x:v>
      </x:c>
      <x:c r="N144" s="10" t="str">
        <x:v>Passed</x:v>
      </x:c>
      <x:c r="O144" s="10" t="str">
        <x:v>Codex</x:v>
      </x:c>
      <x:c r="P144" s="10" t="str">
        <x:v>14 Oct 2026 — Matching backend regression passed in the rebuilt service; secure onboarding assertions now verify chosen/random credentials.</x:v>
      </x:c>
    </x:row>
    <x:row r="145" ht="80" customHeight="1">
      <x:c r="A145" s="3" t="str">
        <x:v>REGRESSION-015</x:v>
      </x:c>
      <x:c r="B145" s="3" t="str">
        <x:v>Passed</x:v>
      </x:c>
      <x:c r="C145" s="3" t="str">
        <x:v>problems</x:v>
      </x:c>
      <x:c r="D145" s="3" t="str">
        <x:v>ai generate permission student denied</x:v>
      </x:c>
      <x:c r="E145" s="3" t="str">
        <x:v>As defined in test fixture</x:v>
      </x:c>
      <x:c r="F145" s="3" t="str">
        <x:v>Backend regression (isolated DB; mocks where defined)</x:v>
      </x:c>
      <x:c r="G145" s="3" t="str">
        <x:v>Execute pytest test apps.problems.tests.test_ai_service::test_ai_generate_permission_student_denied</x:v>
      </x:c>
      <x:c r="H145" s="3" t="str">
        <x:v>Fixtures and assertions in apps/problems/tests/test_ai_service.py</x:v>
      </x:c>
      <x:c r="I145" s="3" t="str">
        <x:v>All assertions in this existing regression test succeed</x:v>
      </x:c>
      <x:c r="J145" s="3" t="str">
        <x:v>Passed in 0.153 seconds</x:v>
      </x:c>
      <x:c r="K145" s="3" t="str"/>
      <x:c r="L145" s="3" t="str">
        <x:v>apps/problems/tests/test_ai_service.py</x:v>
      </x:c>
      <x:c r="M145" s="3" t="str">
        <x:v>evidence/backend-regression.xml</x:v>
      </x:c>
      <x:c r="N145" s="10" t="str">
        <x:v>Passed</x:v>
      </x:c>
      <x:c r="O145" s="10" t="str">
        <x:v>Codex</x:v>
      </x:c>
      <x:c r="P145" s="10" t="str">
        <x:v>14 Oct 2026 — Matching backend regression passed in the rebuilt service; secure onboarding assertions now verify chosen/random credentials.</x:v>
      </x:c>
    </x:row>
    <x:row r="146" ht="80" customHeight="1">
      <x:c r="A146" s="3" t="str">
        <x:v>REGRESSION-016</x:v>
      </x:c>
      <x:c r="B146" s="3" t="str">
        <x:v>Passed</x:v>
      </x:c>
      <x:c r="C146" s="3" t="str">
        <x:v>problems</x:v>
      </x:c>
      <x:c r="D146" s="3" t="str">
        <x:v>ai generate unauthenticated denied</x:v>
      </x:c>
      <x:c r="E146" s="3" t="str">
        <x:v>As defined in test fixture</x:v>
      </x:c>
      <x:c r="F146" s="3" t="str">
        <x:v>Backend regression (isolated DB; mocks where defined)</x:v>
      </x:c>
      <x:c r="G146" s="3" t="str">
        <x:v>Execute pytest test apps.problems.tests.test_ai_service::test_ai_generate_unauthenticated_denied</x:v>
      </x:c>
      <x:c r="H146" s="3" t="str">
        <x:v>Fixtures and assertions in apps/problems/tests/test_ai_service.py</x:v>
      </x:c>
      <x:c r="I146" s="3" t="str">
        <x:v>All assertions in this existing regression test succeed</x:v>
      </x:c>
      <x:c r="J146" s="3" t="str">
        <x:v>Passed in 0.009 seconds</x:v>
      </x:c>
      <x:c r="K146" s="3" t="str"/>
      <x:c r="L146" s="3" t="str">
        <x:v>apps/problems/tests/test_ai_service.py</x:v>
      </x:c>
      <x:c r="M146" s="3" t="str">
        <x:v>evidence/backend-regression.xml</x:v>
      </x:c>
      <x:c r="N146" s="10" t="str">
        <x:v>Passed</x:v>
      </x:c>
      <x:c r="O146" s="10" t="str">
        <x:v>Codex</x:v>
      </x:c>
      <x:c r="P146" s="10" t="str">
        <x:v>14 Oct 2026 — Matching backend regression passed in the rebuilt service; secure onboarding assertions now verify chosen/random credentials.</x:v>
      </x:c>
    </x:row>
    <x:row r="147" ht="80" customHeight="1">
      <x:c r="A147" s="3" t="str">
        <x:v>REGRESSION-017</x:v>
      </x:c>
      <x:c r="B147" s="3" t="str">
        <x:v>Passed</x:v>
      </x:c>
      <x:c r="C147" s="3" t="str">
        <x:v>problems</x:v>
      </x:c>
      <x:c r="D147" s="3" t="str">
        <x:v>ai generate missing topic</x:v>
      </x:c>
      <x:c r="E147" s="3" t="str">
        <x:v>As defined in test fixture</x:v>
      </x:c>
      <x:c r="F147" s="3" t="str">
        <x:v>Backend regression (isolated DB; mocks where defined)</x:v>
      </x:c>
      <x:c r="G147" s="3" t="str">
        <x:v>Execute pytest test apps.problems.tests.test_ai_service::test_ai_generate_missing_topic</x:v>
      </x:c>
      <x:c r="H147" s="3" t="str">
        <x:v>Fixtures and assertions in apps/problems/tests/test_ai_service.py</x:v>
      </x:c>
      <x:c r="I147" s="3" t="str">
        <x:v>All assertions in this existing regression test succeed</x:v>
      </x:c>
      <x:c r="J147" s="3" t="str">
        <x:v>Passed in 0.183 seconds</x:v>
      </x:c>
      <x:c r="K147" s="3" t="str"/>
      <x:c r="L147" s="3" t="str">
        <x:v>apps/problems/tests/test_ai_service.py</x:v>
      </x:c>
      <x:c r="M147" s="3" t="str">
        <x:v>evidence/backend-regression.xml</x:v>
      </x:c>
      <x:c r="N147" s="10" t="str">
        <x:v>Passed</x:v>
      </x:c>
      <x:c r="O147" s="10" t="str">
        <x:v>Codex</x:v>
      </x:c>
      <x:c r="P147" s="10" t="str">
        <x:v>14 Oct 2026 — Matching backend regression passed in the rebuilt service; secure onboarding assertions now verify chosen/random credentials.</x:v>
      </x:c>
    </x:row>
    <x:row r="148" ht="80" customHeight="1">
      <x:c r="A148" s="3" t="str">
        <x:v>REGRESSION-018</x:v>
      </x:c>
      <x:c r="B148" s="3" t="str">
        <x:v>Passed</x:v>
      </x:c>
      <x:c r="C148" s="3" t="str">
        <x:v>problems</x:v>
      </x:c>
      <x:c r="D148" s="3" t="str">
        <x:v>ai convert missing raw text</x:v>
      </x:c>
      <x:c r="E148" s="3" t="str">
        <x:v>As defined in test fixture</x:v>
      </x:c>
      <x:c r="F148" s="3" t="str">
        <x:v>Backend regression (isolated DB; mocks where defined)</x:v>
      </x:c>
      <x:c r="G148" s="3" t="str">
        <x:v>Execute pytest test apps.problems.tests.test_ai_service::test_ai_convert_missing_raw_text</x:v>
      </x:c>
      <x:c r="H148" s="3" t="str">
        <x:v>Fixtures and assertions in apps/problems/tests/test_ai_service.py</x:v>
      </x:c>
      <x:c r="I148" s="3" t="str">
        <x:v>All assertions in this existing regression test succeed</x:v>
      </x:c>
      <x:c r="J148" s="3" t="str">
        <x:v>Passed in 0.164 seconds</x:v>
      </x:c>
      <x:c r="K148" s="3" t="str"/>
      <x:c r="L148" s="3" t="str">
        <x:v>apps/problems/tests/test_ai_service.py</x:v>
      </x:c>
      <x:c r="M148" s="3" t="str">
        <x:v>evidence/backend-regression.xml</x:v>
      </x:c>
      <x:c r="N148" s="10" t="str">
        <x:v>Passed</x:v>
      </x:c>
      <x:c r="O148" s="10" t="str">
        <x:v>Codex</x:v>
      </x:c>
      <x:c r="P148" s="10" t="str">
        <x:v>14 Oct 2026 — Matching backend regression passed in the rebuilt service; secure onboarding assertions now verify chosen/random credentials.</x:v>
      </x:c>
    </x:row>
    <x:row r="149" ht="80" customHeight="1">
      <x:c r="A149" s="3" t="str">
        <x:v>REGRESSION-019</x:v>
      </x:c>
      <x:c r="B149" s="3" t="str">
        <x:v>Passed</x:v>
      </x:c>
      <x:c r="C149" s="3" t="str">
        <x:v>problems</x:v>
      </x:c>
      <x:c r="D149" s="3" t="str">
        <x:v>ai generate success</x:v>
      </x:c>
      <x:c r="E149" s="3" t="str">
        <x:v>As defined in test fixture</x:v>
      </x:c>
      <x:c r="F149" s="3" t="str">
        <x:v>Backend regression (isolated DB; mocks where defined)</x:v>
      </x:c>
      <x:c r="G149" s="3" t="str">
        <x:v>Execute pytest test apps.problems.tests.test_ai_service::test_ai_generate_success</x:v>
      </x:c>
      <x:c r="H149" s="3" t="str">
        <x:v>Fixtures and assertions in apps/problems/tests/test_ai_service.py</x:v>
      </x:c>
      <x:c r="I149" s="3" t="str">
        <x:v>All assertions in this existing regression test succeed</x:v>
      </x:c>
      <x:c r="J149" s="3" t="str">
        <x:v>Passed in 0.210 seconds</x:v>
      </x:c>
      <x:c r="K149" s="3" t="str"/>
      <x:c r="L149" s="3" t="str">
        <x:v>apps/problems/tests/test_ai_service.py</x:v>
      </x:c>
      <x:c r="M149" s="3" t="str">
        <x:v>evidence/backend-regression.xml</x:v>
      </x:c>
      <x:c r="N149" s="10" t="str">
        <x:v>Passed</x:v>
      </x:c>
      <x:c r="O149" s="10" t="str">
        <x:v>Codex</x:v>
      </x:c>
      <x:c r="P149" s="10" t="str">
        <x:v>14 Oct 2026 — Matching backend regression passed in the rebuilt service; secure onboarding assertions now verify chosen/random credentials.</x:v>
      </x:c>
    </x:row>
    <x:row r="150" ht="80" customHeight="1">
      <x:c r="A150" s="3" t="str">
        <x:v>REGRESSION-020</x:v>
      </x:c>
      <x:c r="B150" s="3" t="str">
        <x:v>Passed</x:v>
      </x:c>
      <x:c r="C150" s="3" t="str">
        <x:v>problems</x:v>
      </x:c>
      <x:c r="D150" s="3" t="str">
        <x:v>ai convert success</x:v>
      </x:c>
      <x:c r="E150" s="3" t="str">
        <x:v>As defined in test fixture</x:v>
      </x:c>
      <x:c r="F150" s="3" t="str">
        <x:v>Backend regression (isolated DB; mocks where defined)</x:v>
      </x:c>
      <x:c r="G150" s="3" t="str">
        <x:v>Execute pytest test apps.problems.tests.test_ai_service::test_ai_convert_success</x:v>
      </x:c>
      <x:c r="H150" s="3" t="str">
        <x:v>Fixtures and assertions in apps/problems/tests/test_ai_service.py</x:v>
      </x:c>
      <x:c r="I150" s="3" t="str">
        <x:v>All assertions in this existing regression test succeed</x:v>
      </x:c>
      <x:c r="J150" s="3" t="str">
        <x:v>Passed in 0.271 seconds</x:v>
      </x:c>
      <x:c r="K150" s="3" t="str"/>
      <x:c r="L150" s="3" t="str">
        <x:v>apps/problems/tests/test_ai_service.py</x:v>
      </x:c>
      <x:c r="M150" s="3" t="str">
        <x:v>evidence/backend-regression.xml</x:v>
      </x:c>
      <x:c r="N150" s="10" t="str">
        <x:v>Passed</x:v>
      </x:c>
      <x:c r="O150" s="10" t="str">
        <x:v>Codex</x:v>
      </x:c>
      <x:c r="P150" s="10" t="str">
        <x:v>14 Oct 2026 — Matching backend regression passed in the rebuilt service; secure onboarding assertions now verify chosen/random credentials.</x:v>
      </x:c>
    </x:row>
    <x:row r="151" ht="80" customHeight="1">
      <x:c r="A151" s="3" t="str">
        <x:v>REGRESSION-021</x:v>
      </x:c>
      <x:c r="B151" s="3" t="str">
        <x:v>Passed</x:v>
      </x:c>
      <x:c r="C151" s="3" t="str">
        <x:v>problems</x:v>
      </x:c>
      <x:c r="D151" s="3" t="str">
        <x:v>ai generate missing api key</x:v>
      </x:c>
      <x:c r="E151" s="3" t="str">
        <x:v>As defined in test fixture</x:v>
      </x:c>
      <x:c r="F151" s="3" t="str">
        <x:v>Backend regression (isolated DB; mocks where defined)</x:v>
      </x:c>
      <x:c r="G151" s="3" t="str">
        <x:v>Execute pytest test apps.problems.tests.test_ai_service::test_ai_generate_missing_api_key</x:v>
      </x:c>
      <x:c r="H151" s="3" t="str">
        <x:v>Fixtures and assertions in apps/problems/tests/test_ai_service.py</x:v>
      </x:c>
      <x:c r="I151" s="3" t="str">
        <x:v>All assertions in this existing regression test succeed</x:v>
      </x:c>
      <x:c r="J151" s="3" t="str">
        <x:v>Passed in 0.225 seconds</x:v>
      </x:c>
      <x:c r="K151" s="3" t="str"/>
      <x:c r="L151" s="3" t="str">
        <x:v>apps/problems/tests/test_ai_service.py</x:v>
      </x:c>
      <x:c r="M151" s="3" t="str">
        <x:v>evidence/backend-regression.xml</x:v>
      </x:c>
      <x:c r="N151" s="10" t="str">
        <x:v>Passed</x:v>
      </x:c>
      <x:c r="O151" s="10" t="str">
        <x:v>Codex</x:v>
      </x:c>
      <x:c r="P151" s="10" t="str">
        <x:v>14 Oct 2026 — Matching backend regression passed in the rebuilt service; secure onboarding assertions now verify chosen/random credentials.</x:v>
      </x:c>
    </x:row>
    <x:row r="152" ht="80" customHeight="1">
      <x:c r="A152" s="3" t="str">
        <x:v>REGRESSION-022</x:v>
      </x:c>
      <x:c r="B152" s="3" t="str">
        <x:v>Passed</x:v>
      </x:c>
      <x:c r="C152" s="3" t="str">
        <x:v>problems</x:v>
      </x:c>
      <x:c r="D152" s="3" t="str">
        <x:v>create problem faculty</x:v>
      </x:c>
      <x:c r="E152" s="3" t="str">
        <x:v>As defined in test fixture</x:v>
      </x:c>
      <x:c r="F152" s="3" t="str">
        <x:v>Backend regression (isolated DB; mocks where defined)</x:v>
      </x:c>
      <x:c r="G152" s="3" t="str">
        <x:v>Execute pytest test apps.problems.tests.test_problems.TestProblemsAPI::test_create_problem_faculty</x:v>
      </x:c>
      <x:c r="H152" s="3" t="str">
        <x:v>Fixtures and assertions in apps/problems/tests/test_problems.py</x:v>
      </x:c>
      <x:c r="I152" s="3" t="str">
        <x:v>All assertions in this existing regression test succeed</x:v>
      </x:c>
      <x:c r="J152" s="3" t="str">
        <x:v>Passed in 0.404 seconds</x:v>
      </x:c>
      <x:c r="K152" s="3" t="str"/>
      <x:c r="L152" s="3" t="str">
        <x:v>apps/problems/tests/test_problems.py</x:v>
      </x:c>
      <x:c r="M152" s="3" t="str">
        <x:v>evidence/backend-regression.xml</x:v>
      </x:c>
      <x:c r="N152" s="10" t="str">
        <x:v>Passed</x:v>
      </x:c>
      <x:c r="O152" s="10" t="str">
        <x:v>Codex</x:v>
      </x:c>
      <x:c r="P152" s="10" t="str">
        <x:v>14 Oct 2026 — Matching backend regression passed in the rebuilt service; secure onboarding assertions now verify chosen/random credentials.</x:v>
      </x:c>
    </x:row>
    <x:row r="153" ht="80" customHeight="1">
      <x:c r="A153" s="3" t="str">
        <x:v>REGRESSION-023</x:v>
      </x:c>
      <x:c r="B153" s="3" t="str">
        <x:v>Passed</x:v>
      </x:c>
      <x:c r="C153" s="3" t="str">
        <x:v>problems</x:v>
      </x:c>
      <x:c r="D153" s="3" t="str">
        <x:v>create problem student forbidden</x:v>
      </x:c>
      <x:c r="E153" s="3" t="str">
        <x:v>As defined in test fixture</x:v>
      </x:c>
      <x:c r="F153" s="3" t="str">
        <x:v>Backend regression (isolated DB; mocks where defined)</x:v>
      </x:c>
      <x:c r="G153" s="3" t="str">
        <x:v>Execute pytest test apps.problems.tests.test_problems.TestProblemsAPI::test_create_problem_student_forbidden</x:v>
      </x:c>
      <x:c r="H153" s="3" t="str">
        <x:v>Fixtures and assertions in apps/problems/tests/test_problems.py</x:v>
      </x:c>
      <x:c r="I153" s="3" t="str">
        <x:v>All assertions in this existing regression test succeed</x:v>
      </x:c>
      <x:c r="J153" s="3" t="str">
        <x:v>Passed in 0.251 seconds</x:v>
      </x:c>
      <x:c r="K153" s="3" t="str"/>
      <x:c r="L153" s="3" t="str">
        <x:v>apps/problems/tests/test_problems.py</x:v>
      </x:c>
      <x:c r="M153" s="3" t="str">
        <x:v>evidence/backend-regression.xml</x:v>
      </x:c>
      <x:c r="N153" s="10" t="str">
        <x:v>Passed</x:v>
      </x:c>
      <x:c r="O153" s="10" t="str">
        <x:v>Codex</x:v>
      </x:c>
      <x:c r="P153" s="10" t="str">
        <x:v>14 Oct 2026 — Matching backend regression passed in the rebuilt service; secure onboarding assertions now verify chosen/random credentials.</x:v>
      </x:c>
    </x:row>
    <x:row r="154" ht="80" customHeight="1">
      <x:c r="A154" s="3" t="str">
        <x:v>REGRESSION-024</x:v>
      </x:c>
      <x:c r="B154" s="3" t="str">
        <x:v>Passed</x:v>
      </x:c>
      <x:c r="C154" s="3" t="str">
        <x:v>problems</x:v>
      </x:c>
      <x:c r="D154" s="3" t="str">
        <x:v>list problems student assigned only</x:v>
      </x:c>
      <x:c r="E154" s="3" t="str">
        <x:v>As defined in test fixture</x:v>
      </x:c>
      <x:c r="F154" s="3" t="str">
        <x:v>Backend regression (isolated DB; mocks where defined)</x:v>
      </x:c>
      <x:c r="G154" s="3" t="str">
        <x:v>Execute pytest test apps.problems.tests.test_problems.TestProblemsAPI::test_list_problems_student_assigned_only</x:v>
      </x:c>
      <x:c r="H154" s="3" t="str">
        <x:v>Fixtures and assertions in apps/problems/tests/test_problems.py</x:v>
      </x:c>
      <x:c r="I154" s="3" t="str">
        <x:v>All assertions in this existing regression test succeed</x:v>
      </x:c>
      <x:c r="J154" s="3" t="str">
        <x:v>Passed in 0.431 seconds</x:v>
      </x:c>
      <x:c r="K154" s="3" t="str"/>
      <x:c r="L154" s="3" t="str">
        <x:v>apps/problems/tests/test_problems.py</x:v>
      </x:c>
      <x:c r="M154" s="3" t="str">
        <x:v>evidence/backend-regression.xml</x:v>
      </x:c>
      <x:c r="N154" s="10" t="str">
        <x:v>Passed</x:v>
      </x:c>
      <x:c r="O154" s="10" t="str">
        <x:v>Codex</x:v>
      </x:c>
      <x:c r="P154" s="10" t="str">
        <x:v>14 Oct 2026 — Matching backend regression passed in the rebuilt service; secure onboarding assertions now verify chosen/random credentials.</x:v>
      </x:c>
    </x:row>
    <x:row r="155" ht="80" customHeight="1">
      <x:c r="A155" s="3" t="str">
        <x:v>REGRESSION-025</x:v>
      </x:c>
      <x:c r="B155" s="3" t="str">
        <x:v>Passed</x:v>
      </x:c>
      <x:c r="C155" s="3" t="str">
        <x:v>problems</x:v>
      </x:c>
      <x:c r="D155" s="3" t="str">
        <x:v>get problem detail assigned student</x:v>
      </x:c>
      <x:c r="E155" s="3" t="str">
        <x:v>As defined in test fixture</x:v>
      </x:c>
      <x:c r="F155" s="3" t="str">
        <x:v>Backend regression (isolated DB; mocks where defined)</x:v>
      </x:c>
      <x:c r="G155" s="3" t="str">
        <x:v>Execute pytest test apps.problems.tests.test_problems.TestProblemsAPI::test_get_problem_detail_assigned_student</x:v>
      </x:c>
      <x:c r="H155" s="3" t="str">
        <x:v>Fixtures and assertions in apps/problems/tests/test_problems.py</x:v>
      </x:c>
      <x:c r="I155" s="3" t="str">
        <x:v>All assertions in this existing regression test succeed</x:v>
      </x:c>
      <x:c r="J155" s="3" t="str">
        <x:v>Passed in 0.416 seconds</x:v>
      </x:c>
      <x:c r="K155" s="3" t="str"/>
      <x:c r="L155" s="3" t="str">
        <x:v>apps/problems/tests/test_problems.py</x:v>
      </x:c>
      <x:c r="M155" s="3" t="str">
        <x:v>evidence/backend-regression.xml</x:v>
      </x:c>
      <x:c r="N155" s="10" t="str">
        <x:v>Passed</x:v>
      </x:c>
      <x:c r="O155" s="10" t="str">
        <x:v>Codex</x:v>
      </x:c>
      <x:c r="P155" s="10" t="str">
        <x:v>14 Oct 2026 — Matching backend regression passed in the rebuilt service; secure onboarding assertions now verify chosen/random credentials.</x:v>
      </x:c>
    </x:row>
    <x:row r="156" ht="80" customHeight="1">
      <x:c r="A156" s="3" t="str">
        <x:v>REGRESSION-026</x:v>
      </x:c>
      <x:c r="B156" s="3" t="str">
        <x:v>Passed</x:v>
      </x:c>
      <x:c r="C156" s="3" t="str">
        <x:v>problems</x:v>
      </x:c>
      <x:c r="D156" s="3" t="str">
        <x:v>get problem detail unassigned student forbidden</x:v>
      </x:c>
      <x:c r="E156" s="3" t="str">
        <x:v>As defined in test fixture</x:v>
      </x:c>
      <x:c r="F156" s="3" t="str">
        <x:v>Backend regression (isolated DB; mocks where defined)</x:v>
      </x:c>
      <x:c r="G156" s="3" t="str">
        <x:v>Execute pytest test apps.problems.tests.test_problems.TestProblemsAPI::test_get_problem_detail_unassigned_student_forbidden</x:v>
      </x:c>
      <x:c r="H156" s="3" t="str">
        <x:v>Fixtures and assertions in apps/problems/tests/test_problems.py</x:v>
      </x:c>
      <x:c r="I156" s="3" t="str">
        <x:v>All assertions in this existing regression test succeed</x:v>
      </x:c>
      <x:c r="J156" s="3" t="str">
        <x:v>Passed in 0.382 seconds</x:v>
      </x:c>
      <x:c r="K156" s="3" t="str"/>
      <x:c r="L156" s="3" t="str">
        <x:v>apps/problems/tests/test_problems.py</x:v>
      </x:c>
      <x:c r="M156" s="3" t="str">
        <x:v>evidence/backend-regression.xml</x:v>
      </x:c>
      <x:c r="N156" s="10" t="str">
        <x:v>Passed</x:v>
      </x:c>
      <x:c r="O156" s="10" t="str">
        <x:v>Codex</x:v>
      </x:c>
      <x:c r="P156" s="10" t="str">
        <x:v>14 Oct 2026 — Matching backend regression passed in the rebuilt service; secure onboarding assertions now verify chosen/random credentials.</x:v>
      </x:c>
    </x:row>
    <x:row r="157" ht="80" customHeight="1">
      <x:c r="A157" s="3" t="str">
        <x:v>REGRESSION-027</x:v>
      </x:c>
      <x:c r="B157" s="3" t="str">
        <x:v>Passed</x:v>
      </x:c>
      <x:c r="C157" s="3" t="str">
        <x:v>problems</x:v>
      </x:c>
      <x:c r="D157" s="3" t="str">
        <x:v>get problem for update faculty</x:v>
      </x:c>
      <x:c r="E157" s="3" t="str">
        <x:v>As defined in test fixture</x:v>
      </x:c>
      <x:c r="F157" s="3" t="str">
        <x:v>Backend regression (isolated DB; mocks where defined)</x:v>
      </x:c>
      <x:c r="G157" s="3" t="str">
        <x:v>Execute pytest test apps.problems.tests.test_problems.TestProblemsAPI::test_get_problem_for_update_faculty</x:v>
      </x:c>
      <x:c r="H157" s="3" t="str">
        <x:v>Fixtures and assertions in apps/problems/tests/test_problems.py</x:v>
      </x:c>
      <x:c r="I157" s="3" t="str">
        <x:v>All assertions in this existing regression test succeed</x:v>
      </x:c>
      <x:c r="J157" s="3" t="str">
        <x:v>Passed in 0.247 seconds</x:v>
      </x:c>
      <x:c r="K157" s="3" t="str"/>
      <x:c r="L157" s="3" t="str">
        <x:v>apps/problems/tests/test_problems.py</x:v>
      </x:c>
      <x:c r="M157" s="3" t="str">
        <x:v>evidence/backend-regression.xml</x:v>
      </x:c>
      <x:c r="N157" s="10" t="str">
        <x:v>Passed</x:v>
      </x:c>
      <x:c r="O157" s="10" t="str">
        <x:v>Codex</x:v>
      </x:c>
      <x:c r="P157" s="10" t="str">
        <x:v>14 Oct 2026 — Matching backend regression passed in the rebuilt service; secure onboarding assertions now verify chosen/random credentials.</x:v>
      </x:c>
    </x:row>
    <x:row r="158" ht="80" customHeight="1">
      <x:c r="A158" s="3" t="str">
        <x:v>REGRESSION-028</x:v>
      </x:c>
      <x:c r="B158" s="3" t="str">
        <x:v>Passed</x:v>
      </x:c>
      <x:c r="C158" s="3" t="str">
        <x:v>problems</x:v>
      </x:c>
      <x:c r="D158" s="3" t="str">
        <x:v>update problem faculty</x:v>
      </x:c>
      <x:c r="E158" s="3" t="str">
        <x:v>As defined in test fixture</x:v>
      </x:c>
      <x:c r="F158" s="3" t="str">
        <x:v>Backend regression (isolated DB; mocks where defined)</x:v>
      </x:c>
      <x:c r="G158" s="3" t="str">
        <x:v>Execute pytest test apps.problems.tests.test_problems.TestProblemsAPI::test_update_problem_faculty</x:v>
      </x:c>
      <x:c r="H158" s="3" t="str">
        <x:v>Fixtures and assertions in apps/problems/tests/test_problems.py</x:v>
      </x:c>
      <x:c r="I158" s="3" t="str">
        <x:v>All assertions in this existing regression test succeed</x:v>
      </x:c>
      <x:c r="J158" s="3" t="str">
        <x:v>Passed in 0.286 seconds</x:v>
      </x:c>
      <x:c r="K158" s="3" t="str"/>
      <x:c r="L158" s="3" t="str">
        <x:v>apps/problems/tests/test_problems.py</x:v>
      </x:c>
      <x:c r="M158" s="3" t="str">
        <x:v>evidence/backend-regression.xml</x:v>
      </x:c>
      <x:c r="N158" s="10" t="str">
        <x:v>Passed</x:v>
      </x:c>
      <x:c r="O158" s="10" t="str">
        <x:v>Codex</x:v>
      </x:c>
      <x:c r="P158" s="10" t="str">
        <x:v>14 Oct 2026 — Matching backend regression passed in the rebuilt service; secure onboarding assertions now verify chosen/random credentials.</x:v>
      </x:c>
    </x:row>
    <x:row r="159" ht="80" customHeight="1">
      <x:c r="A159" s="3" t="str">
        <x:v>REGRESSION-029</x:v>
      </x:c>
      <x:c r="B159" s="3" t="str">
        <x:v>Passed</x:v>
      </x:c>
      <x:c r="C159" s="3" t="str">
        <x:v>problems</x:v>
      </x:c>
      <x:c r="D159" s="3" t="str">
        <x:v>assign and unassign students</x:v>
      </x:c>
      <x:c r="E159" s="3" t="str">
        <x:v>As defined in test fixture</x:v>
      </x:c>
      <x:c r="F159" s="3" t="str">
        <x:v>Backend regression (isolated DB; mocks where defined)</x:v>
      </x:c>
      <x:c r="G159" s="3" t="str">
        <x:v>Execute pytest test apps.problems.tests.test_problems.TestProblemsAPI::test_assign_and_unassign_students</x:v>
      </x:c>
      <x:c r="H159" s="3" t="str">
        <x:v>Fixtures and assertions in apps/problems/tests/test_problems.py</x:v>
      </x:c>
      <x:c r="I159" s="3" t="str">
        <x:v>All assertions in this existing regression test succeed</x:v>
      </x:c>
      <x:c r="J159" s="3" t="str">
        <x:v>Passed in 0.510 seconds</x:v>
      </x:c>
      <x:c r="K159" s="3" t="str"/>
      <x:c r="L159" s="3" t="str">
        <x:v>apps/problems/tests/test_problems.py</x:v>
      </x:c>
      <x:c r="M159" s="3" t="str">
        <x:v>evidence/backend-regression.xml</x:v>
      </x:c>
      <x:c r="N159" s="10" t="str">
        <x:v>Passed</x:v>
      </x:c>
      <x:c r="O159" s="10" t="str">
        <x:v>Codex</x:v>
      </x:c>
      <x:c r="P159" s="10" t="str">
        <x:v>14 Oct 2026 — Matching backend regression passed in the rebuilt service; secure onboarding assertions now verify chosen/random credentials.</x:v>
      </x:c>
    </x:row>
    <x:row r="160" ht="80" customHeight="1">
      <x:c r="A160" s="3" t="str">
        <x:v>REGRESSION-030</x:v>
      </x:c>
      <x:c r="B160" s="3" t="str">
        <x:v>Passed</x:v>
      </x:c>
      <x:c r="C160" s="3" t="str">
        <x:v>problems</x:v>
      </x:c>
      <x:c r="D160" s="3" t="str">
        <x:v>filtered students queries</x:v>
      </x:c>
      <x:c r="E160" s="3" t="str">
        <x:v>As defined in test fixture</x:v>
      </x:c>
      <x:c r="F160" s="3" t="str">
        <x:v>Backend regression (isolated DB; mocks where defined)</x:v>
      </x:c>
      <x:c r="G160" s="3" t="str">
        <x:v>Execute pytest test apps.problems.tests.test_problems.TestProblemsAPI::test_filtered_students_queries</x:v>
      </x:c>
      <x:c r="H160" s="3" t="str">
        <x:v>Fixtures and assertions in apps/problems/tests/test_problems.py</x:v>
      </x:c>
      <x:c r="I160" s="3" t="str">
        <x:v>All assertions in this existing regression test succeed</x:v>
      </x:c>
      <x:c r="J160" s="3" t="str">
        <x:v>Passed in 0.592 seconds</x:v>
      </x:c>
      <x:c r="K160" s="3" t="str"/>
      <x:c r="L160" s="3" t="str">
        <x:v>apps/problems/tests/test_problems.py</x:v>
      </x:c>
      <x:c r="M160" s="3" t="str">
        <x:v>evidence/backend-regression.xml</x:v>
      </x:c>
      <x:c r="N160" s="10" t="str">
        <x:v>Passed</x:v>
      </x:c>
      <x:c r="O160" s="10" t="str">
        <x:v>Codex</x:v>
      </x:c>
      <x:c r="P160" s="10" t="str">
        <x:v>14 Oct 2026 — Matching backend regression passed in the rebuilt service; secure onboarding assertions now verify chosen/random credentials.</x:v>
      </x:c>
    </x:row>
    <x:row r="161" ht="80" customHeight="1">
      <x:c r="A161" s="3" t="str">
        <x:v>REGRESSION-031</x:v>
      </x:c>
      <x:c r="B161" s="3" t="str">
        <x:v>Passed</x:v>
      </x:c>
      <x:c r="C161" s="3" t="str">
        <x:v>problems</x:v>
      </x:c>
      <x:c r="D161" s="3" t="str">
        <x:v>students stats endpoint</x:v>
      </x:c>
      <x:c r="E161" s="3" t="str">
        <x:v>As defined in test fixture</x:v>
      </x:c>
      <x:c r="F161" s="3" t="str">
        <x:v>Backend regression (isolated DB; mocks where defined)</x:v>
      </x:c>
      <x:c r="G161" s="3" t="str">
        <x:v>Execute pytest test apps.problems.tests.test_problems.TestProblemsAPI::test_students_stats_endpoint</x:v>
      </x:c>
      <x:c r="H161" s="3" t="str">
        <x:v>Fixtures and assertions in apps/problems/tests/test_problems.py</x:v>
      </x:c>
      <x:c r="I161" s="3" t="str">
        <x:v>All assertions in this existing regression test succeed</x:v>
      </x:c>
      <x:c r="J161" s="3" t="str">
        <x:v>Passed in 0.330 seconds</x:v>
      </x:c>
      <x:c r="K161" s="3" t="str"/>
      <x:c r="L161" s="3" t="str">
        <x:v>apps/problems/tests/test_problems.py</x:v>
      </x:c>
      <x:c r="M161" s="3" t="str">
        <x:v>evidence/backend-regression.xml</x:v>
      </x:c>
      <x:c r="N161" s="10" t="str">
        <x:v>Passed</x:v>
      </x:c>
      <x:c r="O161" s="10" t="str">
        <x:v>Codex</x:v>
      </x:c>
      <x:c r="P161" s="10" t="str">
        <x:v>14 Oct 2026 — Matching backend regression passed in the rebuilt service; secure onboarding assertions now verify chosen/random credentials.</x:v>
      </x:c>
    </x:row>
    <x:row r="162" ht="80" customHeight="1">
      <x:c r="A162" s="3" t="str">
        <x:v>REGRESSION-032</x:v>
      </x:c>
      <x:c r="B162" s="3" t="str">
        <x:v>Passed</x:v>
      </x:c>
      <x:c r="C162" s="3" t="str">
        <x:v>problems</x:v>
      </x:c>
      <x:c r="D162" s="3" t="str">
        <x:v>delete problem</x:v>
      </x:c>
      <x:c r="E162" s="3" t="str">
        <x:v>As defined in test fixture</x:v>
      </x:c>
      <x:c r="F162" s="3" t="str">
        <x:v>Backend regression (isolated DB; mocks where defined)</x:v>
      </x:c>
      <x:c r="G162" s="3" t="str">
        <x:v>Execute pytest test apps.problems.tests.test_problems.TestProblemsAPI::test_delete_problem</x:v>
      </x:c>
      <x:c r="H162" s="3" t="str">
        <x:v>Fixtures and assertions in apps/problems/tests/test_problems.py</x:v>
      </x:c>
      <x:c r="I162" s="3" t="str">
        <x:v>All assertions in this existing regression test succeed</x:v>
      </x:c>
      <x:c r="J162" s="3" t="str">
        <x:v>Passed in 0.249 seconds</x:v>
      </x:c>
      <x:c r="K162" s="3" t="str"/>
      <x:c r="L162" s="3" t="str">
        <x:v>apps/problems/tests/test_problems.py</x:v>
      </x:c>
      <x:c r="M162" s="3" t="str">
        <x:v>evidence/backend-regression.xml</x:v>
      </x:c>
      <x:c r="N162" s="10" t="str">
        <x:v>Passed</x:v>
      </x:c>
      <x:c r="O162" s="10" t="str">
        <x:v>Codex</x:v>
      </x:c>
      <x:c r="P162" s="10" t="str">
        <x:v>14 Oct 2026 — Matching backend regression passed in the rebuilt service; secure onboarding assertions now verify chosen/random credentials.</x:v>
      </x:c>
    </x:row>
    <x:row r="163" ht="80" customHeight="1">
      <x:c r="A163" s="3" t="str">
        <x:v>REGRESSION-033</x:v>
      </x:c>
      <x:c r="B163" s="3" t="str">
        <x:v>Passed</x:v>
      </x:c>
      <x:c r="C163" s="3" t="str">
        <x:v>submissions</x:v>
      </x:c>
      <x:c r="D163" s="3" t="str">
        <x:v>user submissions for problem</x:v>
      </x:c>
      <x:c r="E163" s="3" t="str">
        <x:v>As defined in test fixture</x:v>
      </x:c>
      <x:c r="F163" s="3" t="str">
        <x:v>Backend regression (isolated DB; mocks where defined)</x:v>
      </x:c>
      <x:c r="G163" s="3" t="str">
        <x:v>Execute pytest test apps.submissions.tests.test_submissions.TestSubmissionsAPI::test_user_submissions_for_problem</x:v>
      </x:c>
      <x:c r="H163" s="3" t="str">
        <x:v>Fixtures and assertions in apps/submissions/tests/test_submissions.py</x:v>
      </x:c>
      <x:c r="I163" s="3" t="str">
        <x:v>All assertions in this existing regression test succeed</x:v>
      </x:c>
      <x:c r="J163" s="3" t="str">
        <x:v>Passed in 0.217 seconds</x:v>
      </x:c>
      <x:c r="K163" s="3" t="str"/>
      <x:c r="L163" s="3" t="str">
        <x:v>apps/submissions/tests/test_submissions.py</x:v>
      </x:c>
      <x:c r="M163" s="3" t="str">
        <x:v>evidence/backend-regression.xml</x:v>
      </x:c>
      <x:c r="N163" s="10" t="str">
        <x:v>Passed</x:v>
      </x:c>
      <x:c r="O163" s="10" t="str">
        <x:v>Codex</x:v>
      </x:c>
      <x:c r="P163" s="10" t="str">
        <x:v>14 Oct 2026 — Matching backend regression passed in the rebuilt service; secure onboarding assertions now verify chosen/random credentials.</x:v>
      </x:c>
    </x:row>
    <x:row r="164" ht="80" customHeight="1">
      <x:c r="A164" s="3" t="str">
        <x:v>REGRESSION-034</x:v>
      </x:c>
      <x:c r="B164" s="3" t="str">
        <x:v>Passed</x:v>
      </x:c>
      <x:c r="C164" s="3" t="str">
        <x:v>submissions</x:v>
      </x:c>
      <x:c r="D164" s="3" t="str">
        <x:v>user submissions for problem missing param</x:v>
      </x:c>
      <x:c r="E164" s="3" t="str">
        <x:v>As defined in test fixture</x:v>
      </x:c>
      <x:c r="F164" s="3" t="str">
        <x:v>Backend regression (isolated DB; mocks where defined)</x:v>
      </x:c>
      <x:c r="G164" s="3" t="str">
        <x:v>Execute pytest test apps.submissions.tests.test_submissions.TestSubmissionsAPI::test_user_submissions_for_problem_missing_param</x:v>
      </x:c>
      <x:c r="H164" s="3" t="str">
        <x:v>Fixtures and assertions in apps/submissions/tests/test_submissions.py</x:v>
      </x:c>
      <x:c r="I164" s="3" t="str">
        <x:v>All assertions in this existing regression test succeed</x:v>
      </x:c>
      <x:c r="J164" s="3" t="str">
        <x:v>Passed in 0.129 seconds</x:v>
      </x:c>
      <x:c r="K164" s="3" t="str"/>
      <x:c r="L164" s="3" t="str">
        <x:v>apps/submissions/tests/test_submissions.py</x:v>
      </x:c>
      <x:c r="M164" s="3" t="str">
        <x:v>evidence/backend-regression.xml</x:v>
      </x:c>
      <x:c r="N164" s="10" t="str">
        <x:v>Passed</x:v>
      </x:c>
      <x:c r="O164" s="10" t="str">
        <x:v>Codex</x:v>
      </x:c>
      <x:c r="P164" s="10" t="str">
        <x:v>14 Oct 2026 — Matching backend regression passed in the rebuilt service; secure onboarding assertions now verify chosen/random credentials.</x:v>
      </x:c>
    </x:row>
    <x:row r="165" ht="80" customHeight="1">
      <x:c r="A165" s="3" t="str">
        <x:v>REGRESSION-035</x:v>
      </x:c>
      <x:c r="B165" s="3" t="str">
        <x:v>Passed</x:v>
      </x:c>
      <x:c r="C165" s="3" t="str">
        <x:v>submissions</x:v>
      </x:c>
      <x:c r="D165" s="3" t="str">
        <x:v>all submissions for problem faculty highest marks</x:v>
      </x:c>
      <x:c r="E165" s="3" t="str">
        <x:v>As defined in test fixture</x:v>
      </x:c>
      <x:c r="F165" s="3" t="str">
        <x:v>Backend regression (isolated DB; mocks where defined)</x:v>
      </x:c>
      <x:c r="G165" s="3" t="str">
        <x:v>Execute pytest test apps.submissions.tests.test_submissions.TestSubmissionsAPI::test_all_submissions_for_problem_faculty_highest_marks</x:v>
      </x:c>
      <x:c r="H165" s="3" t="str">
        <x:v>Fixtures and assertions in apps/submissions/tests/test_submissions.py</x:v>
      </x:c>
      <x:c r="I165" s="3" t="str">
        <x:v>All assertions in this existing regression test succeed</x:v>
      </x:c>
      <x:c r="J165" s="3" t="str">
        <x:v>Passed in 0.317 seconds</x:v>
      </x:c>
      <x:c r="K165" s="3" t="str"/>
      <x:c r="L165" s="3" t="str">
        <x:v>apps/submissions/tests/test_submissions.py</x:v>
      </x:c>
      <x:c r="M165" s="3" t="str">
        <x:v>evidence/backend-regression.xml</x:v>
      </x:c>
      <x:c r="N165" s="10" t="str">
        <x:v>Passed</x:v>
      </x:c>
      <x:c r="O165" s="10" t="str">
        <x:v>Codex</x:v>
      </x:c>
      <x:c r="P165" s="10" t="str">
        <x:v>14 Oct 2026 — Matching backend regression passed in the rebuilt service; secure onboarding assertions now verify chosen/random credentials.</x:v>
      </x:c>
    </x:row>
    <x:row r="166" ht="80" customHeight="1">
      <x:c r="A166" s="3" t="str">
        <x:v>REGRESSION-036</x:v>
      </x:c>
      <x:c r="B166" s="3" t="str">
        <x:v>Passed</x:v>
      </x:c>
      <x:c r="C166" s="3" t="str">
        <x:v>submissions</x:v>
      </x:c>
      <x:c r="D166" s="3" t="str">
        <x:v>all submissions for problem student forbidden</x:v>
      </x:c>
      <x:c r="E166" s="3" t="str">
        <x:v>As defined in test fixture</x:v>
      </x:c>
      <x:c r="F166" s="3" t="str">
        <x:v>Backend regression (isolated DB; mocks where defined)</x:v>
      </x:c>
      <x:c r="G166" s="3" t="str">
        <x:v>Execute pytest test apps.submissions.tests.test_submissions.TestSubmissionsAPI::test_all_submissions_for_problem_student_forbidden</x:v>
      </x:c>
      <x:c r="H166" s="3" t="str">
        <x:v>Fixtures and assertions in apps/submissions/tests/test_submissions.py</x:v>
      </x:c>
      <x:c r="I166" s="3" t="str">
        <x:v>All assertions in this existing regression test succeed</x:v>
      </x:c>
      <x:c r="J166" s="3" t="str">
        <x:v>Passed in 0.344 seconds</x:v>
      </x:c>
      <x:c r="K166" s="3" t="str"/>
      <x:c r="L166" s="3" t="str">
        <x:v>apps/submissions/tests/test_submissions.py</x:v>
      </x:c>
      <x:c r="M166" s="3" t="str">
        <x:v>evidence/backend-regression.xml</x:v>
      </x:c>
      <x:c r="N166" s="10" t="str">
        <x:v>Passed</x:v>
      </x:c>
      <x:c r="O166" s="10" t="str">
        <x:v>Codex</x:v>
      </x:c>
      <x:c r="P166" s="10" t="str">
        <x:v>14 Oct 2026 — Matching backend regression passed in the rebuilt service; secure onboarding assertions now verify chosen/random credentials.</x:v>
      </x:c>
    </x:row>
    <x:row r="167" ht="80" customHeight="1">
      <x:c r="A167" s="3" t="str">
        <x:v>REGRESSION-037</x:v>
      </x:c>
      <x:c r="B167" s="3" t="str">
        <x:v>Passed</x:v>
      </x:c>
      <x:c r="C167" s="3" t="str">
        <x:v>submissions</x:v>
      </x:c>
      <x:c r="D167" s="3" t="str">
        <x:v>user submission history pagination</x:v>
      </x:c>
      <x:c r="E167" s="3" t="str">
        <x:v>As defined in test fixture</x:v>
      </x:c>
      <x:c r="F167" s="3" t="str">
        <x:v>Backend regression (isolated DB; mocks where defined)</x:v>
      </x:c>
      <x:c r="G167" s="3" t="str">
        <x:v>Execute pytest test apps.submissions.tests.test_submissions.TestSubmissionsAPI::test_user_submission_history_pagination</x:v>
      </x:c>
      <x:c r="H167" s="3" t="str">
        <x:v>Fixtures and assertions in apps/submissions/tests/test_submissions.py</x:v>
      </x:c>
      <x:c r="I167" s="3" t="str">
        <x:v>All assertions in this existing regression test succeed</x:v>
      </x:c>
      <x:c r="J167" s="3" t="str">
        <x:v>Passed in 0.427 seconds</x:v>
      </x:c>
      <x:c r="K167" s="3" t="str"/>
      <x:c r="L167" s="3" t="str">
        <x:v>apps/submissions/tests/test_submissions.py</x:v>
      </x:c>
      <x:c r="M167" s="3" t="str">
        <x:v>evidence/backend-regression.xml</x:v>
      </x:c>
      <x:c r="N167" s="10" t="str">
        <x:v>Passed</x:v>
      </x:c>
      <x:c r="O167" s="10" t="str">
        <x:v>Codex</x:v>
      </x:c>
      <x:c r="P167" s="10" t="str">
        <x:v>14 Oct 2026 — Matching backend regression passed in the rebuilt service; secure onboarding assertions now verify chosen/random credentials.</x:v>
      </x:c>
    </x:row>
    <x:row r="168" ht="80" customHeight="1">
      <x:c r="A168" s="3" t="str">
        <x:v>REGRESSION-038</x:v>
      </x:c>
      <x:c r="B168" s="3" t="str">
        <x:v>Passed</x:v>
      </x:c>
      <x:c r="C168" s="3" t="str">
        <x:v>submissions</x:v>
      </x:c>
      <x:c r="D168" s="3" t="str">
        <x:v>submission detail student masked hidden tests</x:v>
      </x:c>
      <x:c r="E168" s="3" t="str">
        <x:v>As defined in test fixture</x:v>
      </x:c>
      <x:c r="F168" s="3" t="str">
        <x:v>Backend regression (isolated DB; mocks where defined)</x:v>
      </x:c>
      <x:c r="G168" s="3" t="str">
        <x:v>Execute pytest test apps.submissions.tests.test_submissions.TestSubmissionsAPI::test_submission_detail_student_masked_hidden_tests</x:v>
      </x:c>
      <x:c r="H168" s="3" t="str">
        <x:v>Fixtures and assertions in apps/submissions/tests/test_submissions.py</x:v>
      </x:c>
      <x:c r="I168" s="3" t="str">
        <x:v>All assertions in this existing regression test succeed</x:v>
      </x:c>
      <x:c r="J168" s="3" t="str">
        <x:v>Passed in 0.320 seconds</x:v>
      </x:c>
      <x:c r="K168" s="3" t="str"/>
      <x:c r="L168" s="3" t="str">
        <x:v>apps/submissions/tests/test_submissions.py</x:v>
      </x:c>
      <x:c r="M168" s="3" t="str">
        <x:v>evidence/backend-regression.xml</x:v>
      </x:c>
      <x:c r="N168" s="10" t="str">
        <x:v>Passed</x:v>
      </x:c>
      <x:c r="O168" s="10" t="str">
        <x:v>Codex</x:v>
      </x:c>
      <x:c r="P168" s="10" t="str">
        <x:v>14 Oct 2026 — Matching backend regression passed in the rebuilt service; secure onboarding assertions now verify chosen/random credentials.</x:v>
      </x:c>
    </x:row>
    <x:row r="169" ht="80" customHeight="1">
      <x:c r="A169" s="3" t="str">
        <x:v>REGRESSION-039</x:v>
      </x:c>
      <x:c r="B169" s="3" t="str">
        <x:v>Passed</x:v>
      </x:c>
      <x:c r="C169" s="3" t="str">
        <x:v>submissions</x:v>
      </x:c>
      <x:c r="D169" s="3" t="str">
        <x:v>submission detail other student forbidden</x:v>
      </x:c>
      <x:c r="E169" s="3" t="str">
        <x:v>As defined in test fixture</x:v>
      </x:c>
      <x:c r="F169" s="3" t="str">
        <x:v>Backend regression (isolated DB; mocks where defined)</x:v>
      </x:c>
      <x:c r="G169" s="3" t="str">
        <x:v>Execute pytest test apps.submissions.tests.test_submissions.TestSubmissionsAPI::test_submission_detail_other_student_forbidden</x:v>
      </x:c>
      <x:c r="H169" s="3" t="str">
        <x:v>Fixtures and assertions in apps/submissions/tests/test_submissions.py</x:v>
      </x:c>
      <x:c r="I169" s="3" t="str">
        <x:v>All assertions in this existing regression test succeed</x:v>
      </x:c>
      <x:c r="J169" s="3" t="str">
        <x:v>Passed in 0.556 seconds</x:v>
      </x:c>
      <x:c r="K169" s="3" t="str"/>
      <x:c r="L169" s="3" t="str">
        <x:v>apps/submissions/tests/test_submissions.py</x:v>
      </x:c>
      <x:c r="M169" s="3" t="str">
        <x:v>evidence/backend-regression.xml</x:v>
      </x:c>
      <x:c r="N169" s="10" t="str">
        <x:v>Passed</x:v>
      </x:c>
      <x:c r="O169" s="10" t="str">
        <x:v>Codex</x:v>
      </x:c>
      <x:c r="P169" s="10" t="str">
        <x:v>14 Oct 2026 — Matching backend regression passed in the rebuilt service; secure onboarding assertions now verify chosen/random credentials.</x:v>
      </x:c>
    </x:row>
    <x:row r="170" ht="80" customHeight="1">
      <x:c r="A170" s="3" t="str">
        <x:v>REGRESSION-040</x:v>
      </x:c>
      <x:c r="B170" s="3" t="str">
        <x:v>Passed</x:v>
      </x:c>
      <x:c r="C170" s="3" t="str">
        <x:v>submissions</x:v>
      </x:c>
      <x:c r="D170" s="3" t="str">
        <x:v>submission detail faculty unmasked</x:v>
      </x:c>
      <x:c r="E170" s="3" t="str">
        <x:v>As defined in test fixture</x:v>
      </x:c>
      <x:c r="F170" s="3" t="str">
        <x:v>Backend regression (isolated DB; mocks where defined)</x:v>
      </x:c>
      <x:c r="G170" s="3" t="str">
        <x:v>Execute pytest test apps.submissions.tests.test_submissions.TestSubmissionsAPI::test_submission_detail_faculty_unmasked</x:v>
      </x:c>
      <x:c r="H170" s="3" t="str">
        <x:v>Fixtures and assertions in apps/submissions/tests/test_submissions.py</x:v>
      </x:c>
      <x:c r="I170" s="3" t="str">
        <x:v>All assertions in this existing regression test succeed</x:v>
      </x:c>
      <x:c r="J170" s="3" t="str">
        <x:v>Passed in 0.396 seconds</x:v>
      </x:c>
      <x:c r="K170" s="3" t="str"/>
      <x:c r="L170" s="3" t="str">
        <x:v>apps/submissions/tests/test_submissions.py</x:v>
      </x:c>
      <x:c r="M170" s="3" t="str">
        <x:v>evidence/backend-regression.xml</x:v>
      </x:c>
      <x:c r="N170" s="10" t="str">
        <x:v>Passed</x:v>
      </x:c>
      <x:c r="O170" s="10" t="str">
        <x:v>Codex</x:v>
      </x:c>
      <x:c r="P170" s="10" t="str">
        <x:v>14 Oct 2026 — Matching backend regression passed in the rebuilt service; secure onboarding assertions now verify chosen/random credentials.</x:v>
      </x:c>
    </x:row>
    <x:row r="171" ht="80" customHeight="1">
      <x:c r="A171" s="3" t="str">
        <x:v>REGRESSION-041</x:v>
      </x:c>
      <x:c r="B171" s="3" t="str">
        <x:v>Passed</x:v>
      </x:c>
      <x:c r="C171" s="3" t="str">
        <x:v>submissions</x:v>
      </x:c>
      <x:c r="D171" s="3" t="str">
        <x:v>submission detail faculty cannot view admin</x:v>
      </x:c>
      <x:c r="E171" s="3" t="str">
        <x:v>As defined in test fixture</x:v>
      </x:c>
      <x:c r="F171" s="3" t="str">
        <x:v>Backend regression (isolated DB; mocks where defined)</x:v>
      </x:c>
      <x:c r="G171" s="3" t="str">
        <x:v>Execute pytest test apps.submissions.tests.test_submissions.TestSubmissionsAPI::test_submission_detail_faculty_cannot_view_admin</x:v>
      </x:c>
      <x:c r="H171" s="3" t="str">
        <x:v>Fixtures and assertions in apps/submissions/tests/test_submissions.py</x:v>
      </x:c>
      <x:c r="I171" s="3" t="str">
        <x:v>All assertions in this existing regression test succeed</x:v>
      </x:c>
      <x:c r="J171" s="3" t="str">
        <x:v>Passed in 0.293 seconds</x:v>
      </x:c>
      <x:c r="K171" s="3" t="str"/>
      <x:c r="L171" s="3" t="str">
        <x:v>apps/submissions/tests/test_submissions.py</x:v>
      </x:c>
      <x:c r="M171" s="3" t="str">
        <x:v>evidence/backend-regression.xml</x:v>
      </x:c>
      <x:c r="N171" s="10" t="str">
        <x:v>Passed</x:v>
      </x:c>
      <x:c r="O171" s="10" t="str">
        <x:v>Codex</x:v>
      </x:c>
      <x:c r="P171" s="10" t="str">
        <x:v>14 Oct 2026 — Matching backend regression passed in the rebuilt service; secure onboarding assertions now verify chosen/random credentials.</x:v>
      </x:c>
    </x:row>
    <x:row r="172" ht="80" customHeight="1">
      <x:c r="A172" s="3" t="str">
        <x:v>REGRESSION-042</x:v>
      </x:c>
      <x:c r="B172" s="3" t="str">
        <x:v>Passed</x:v>
      </x:c>
      <x:c r="C172" s="3" t="str">
        <x:v>users</x:v>
      </x:c>
      <x:c r="D172" s="3" t="str">
        <x:v>admin pending and accept request</x:v>
      </x:c>
      <x:c r="E172" s="3" t="str">
        <x:v>As defined in test fixture</x:v>
      </x:c>
      <x:c r="F172" s="3" t="str">
        <x:v>Backend regression (isolated DB; mocks where defined)</x:v>
      </x:c>
      <x:c r="G172" s="3" t="str">
        <x:v>Execute pytest test apps.users.tests.test_admin_faculty::test_admin_pending_and_accept_request</x:v>
      </x:c>
      <x:c r="H172" s="3" t="str">
        <x:v>Fixtures and assertions in apps/users/tests/test_admin_faculty.py</x:v>
      </x:c>
      <x:c r="I172" s="3" t="str">
        <x:v>All assertions in this existing regression test succeed</x:v>
      </x:c>
      <x:c r="J172" s="3" t="str">
        <x:v>Passed in 0.830 seconds</x:v>
      </x:c>
      <x:c r="K172" s="3" t="str"/>
      <x:c r="L172" s="3" t="str">
        <x:v>apps/users/tests/test_admin_faculty.py</x:v>
      </x:c>
      <x:c r="M172" s="3" t="str">
        <x:v>evidence/backend-regression.xml</x:v>
      </x:c>
      <x:c r="N172" s="10" t="str">
        <x:v>Passed</x:v>
      </x:c>
      <x:c r="O172" s="10" t="str">
        <x:v>Codex</x:v>
      </x:c>
      <x:c r="P172" s="10" t="str">
        <x:v>14 Oct 2026 — Matching backend regression passed in the rebuilt service; secure onboarding assertions now verify chosen/random credentials.</x:v>
      </x:c>
    </x:row>
    <x:row r="173" ht="80" customHeight="1">
      <x:c r="A173" s="3" t="str">
        <x:v>REGRESSION-043</x:v>
      </x:c>
      <x:c r="B173" s="3" t="str">
        <x:v>Passed</x:v>
      </x:c>
      <x:c r="C173" s="3" t="str">
        <x:v>users</x:v>
      </x:c>
      <x:c r="D173" s="3" t="str">
        <x:v>admin decline and accept all</x:v>
      </x:c>
      <x:c r="E173" s="3" t="str">
        <x:v>As defined in test fixture</x:v>
      </x:c>
      <x:c r="F173" s="3" t="str">
        <x:v>Backend regression (isolated DB; mocks where defined)</x:v>
      </x:c>
      <x:c r="G173" s="3" t="str">
        <x:v>Execute pytest test apps.users.tests.test_admin_faculty::test_admin_decline_and_accept_all</x:v>
      </x:c>
      <x:c r="H173" s="3" t="str">
        <x:v>Fixtures and assertions in apps/users/tests/test_admin_faculty.py</x:v>
      </x:c>
      <x:c r="I173" s="3" t="str">
        <x:v>All assertions in this existing regression test succeed</x:v>
      </x:c>
      <x:c r="J173" s="3" t="str">
        <x:v>Passed in 0.706 seconds</x:v>
      </x:c>
      <x:c r="K173" s="3" t="str"/>
      <x:c r="L173" s="3" t="str">
        <x:v>apps/users/tests/test_admin_faculty.py</x:v>
      </x:c>
      <x:c r="M173" s="3" t="str">
        <x:v>evidence/backend-regression.xml</x:v>
      </x:c>
      <x:c r="N173" s="10" t="str">
        <x:v>Passed</x:v>
      </x:c>
      <x:c r="O173" s="10" t="str">
        <x:v>Codex</x:v>
      </x:c>
      <x:c r="P173" s="10" t="str">
        <x:v>14 Oct 2026 — Matching backend regression passed in the rebuilt service; secure onboarding assertions now verify chosen/random credentials.</x:v>
      </x:c>
    </x:row>
    <x:row r="174" ht="80" customHeight="1">
      <x:c r="A174" s="3" t="str">
        <x:v>REGRESSION-044</x:v>
      </x:c>
      <x:c r="B174" s="3" t="str">
        <x:v>Passed</x:v>
      </x:c>
      <x:c r="C174" s="3" t="str">
        <x:v>users</x:v>
      </x:c>
      <x:c r="D174" s="3" t="str">
        <x:v>admin get faculty and delete</x:v>
      </x:c>
      <x:c r="E174" s="3" t="str">
        <x:v>As defined in test fixture</x:v>
      </x:c>
      <x:c r="F174" s="3" t="str">
        <x:v>Backend regression (isolated DB; mocks where defined)</x:v>
      </x:c>
      <x:c r="G174" s="3" t="str">
        <x:v>Execute pytest test apps.users.tests.test_admin_faculty::test_admin_get_faculty_and_delete</x:v>
      </x:c>
      <x:c r="H174" s="3" t="str">
        <x:v>Fixtures and assertions in apps/users/tests/test_admin_faculty.py</x:v>
      </x:c>
      <x:c r="I174" s="3" t="str">
        <x:v>All assertions in this existing regression test succeed</x:v>
      </x:c>
      <x:c r="J174" s="3" t="str">
        <x:v>Passed in 0.413 seconds</x:v>
      </x:c>
      <x:c r="K174" s="3" t="str"/>
      <x:c r="L174" s="3" t="str">
        <x:v>apps/users/tests/test_admin_faculty.py</x:v>
      </x:c>
      <x:c r="M174" s="3" t="str">
        <x:v>evidence/backend-regression.xml</x:v>
      </x:c>
      <x:c r="N174" s="10" t="str">
        <x:v>Passed</x:v>
      </x:c>
      <x:c r="O174" s="10" t="str">
        <x:v>Codex</x:v>
      </x:c>
      <x:c r="P174" s="10" t="str">
        <x:v>14 Oct 2026 — Matching backend regression passed in the rebuilt service; secure onboarding assertions now verify chosen/random credentials.</x:v>
      </x:c>
    </x:row>
    <x:row r="175" ht="80" customHeight="1">
      <x:c r="A175" s="3" t="str">
        <x:v>REGRESSION-045</x:v>
      </x:c>
      <x:c r="B175" s="3" t="str">
        <x:v>Passed</x:v>
      </x:c>
      <x:c r="C175" s="3" t="str">
        <x:v>users</x:v>
      </x:c>
      <x:c r="D175" s="3" t="str">
        <x:v>faculty pending and accept</x:v>
      </x:c>
      <x:c r="E175" s="3" t="str">
        <x:v>As defined in test fixture</x:v>
      </x:c>
      <x:c r="F175" s="3" t="str">
        <x:v>Backend regression (isolated DB; mocks where defined)</x:v>
      </x:c>
      <x:c r="G175" s="3" t="str">
        <x:v>Execute pytest test apps.users.tests.test_admin_faculty::test_faculty_pending_and_accept</x:v>
      </x:c>
      <x:c r="H175" s="3" t="str">
        <x:v>Fixtures and assertions in apps/users/tests/test_admin_faculty.py</x:v>
      </x:c>
      <x:c r="I175" s="3" t="str">
        <x:v>All assertions in this existing regression test succeed</x:v>
      </x:c>
      <x:c r="J175" s="3" t="str">
        <x:v>Passed in 0.654 seconds</x:v>
      </x:c>
      <x:c r="K175" s="3" t="str"/>
      <x:c r="L175" s="3" t="str">
        <x:v>apps/users/tests/test_admin_faculty.py</x:v>
      </x:c>
      <x:c r="M175" s="3" t="str">
        <x:v>evidence/backend-regression.xml</x:v>
      </x:c>
      <x:c r="N175" s="10" t="str">
        <x:v>Passed</x:v>
      </x:c>
      <x:c r="O175" s="10" t="str">
        <x:v>Codex</x:v>
      </x:c>
      <x:c r="P175" s="10" t="str">
        <x:v>14 Oct 2026 — Matching backend regression passed in the rebuilt service; secure onboarding assertions now verify chosen/random credentials.</x:v>
      </x:c>
    </x:row>
    <x:row r="176" ht="80" customHeight="1">
      <x:c r="A176" s="3" t="str">
        <x:v>REGRESSION-046</x:v>
      </x:c>
      <x:c r="B176" s="3" t="str">
        <x:v>Passed</x:v>
      </x:c>
      <x:c r="C176" s="3" t="str">
        <x:v>users</x:v>
      </x:c>
      <x:c r="D176" s="3" t="str">
        <x:v>faculty bulk register and expire session</x:v>
      </x:c>
      <x:c r="E176" s="3" t="str">
        <x:v>As defined in test fixture</x:v>
      </x:c>
      <x:c r="F176" s="3" t="str">
        <x:v>Backend regression (isolated DB; mocks where defined)</x:v>
      </x:c>
      <x:c r="G176" s="3" t="str">
        <x:v>Execute pytest test apps.users.tests.test_admin_faculty::test_faculty_bulk_register_and_expire_session</x:v>
      </x:c>
      <x:c r="H176" s="3" t="str">
        <x:v>Fixtures and assertions in apps/users/tests/test_admin_faculty.py</x:v>
      </x:c>
      <x:c r="I176" s="3" t="str">
        <x:v>All assertions in this existing regression test succeed</x:v>
      </x:c>
      <x:c r="J176" s="3" t="str">
        <x:v>Passed in 1.012 seconds</x:v>
      </x:c>
      <x:c r="K176" s="3" t="str"/>
      <x:c r="L176" s="3" t="str">
        <x:v>apps/users/tests/test_admin_faculty.py</x:v>
      </x:c>
      <x:c r="M176" s="3" t="str">
        <x:v>evidence/backend-regression.xml</x:v>
      </x:c>
      <x:c r="N176" s="10" t="str">
        <x:v>Passed</x:v>
      </x:c>
      <x:c r="O176" s="10" t="str">
        <x:v>Codex</x:v>
      </x:c>
      <x:c r="P176" s="10" t="str">
        <x:v>14 Oct 2026 — Matching backend regression passed in the rebuilt service; secure onboarding assertions now verify chosen/random credentials.</x:v>
      </x:c>
    </x:row>
    <x:row r="177" ht="80" customHeight="1">
      <x:c r="A177" s="3" t="str">
        <x:v>REGRESSION-047</x:v>
      </x:c>
      <x:c r="B177" s="3" t="str">
        <x:v>Passed</x:v>
      </x:c>
      <x:c r="C177" s="3" t="str">
        <x:v>users</x:v>
      </x:c>
      <x:c r="D177" s="3" t="str">
        <x:v>student registration</x:v>
      </x:c>
      <x:c r="E177" s="3" t="str">
        <x:v>As defined in test fixture</x:v>
      </x:c>
      <x:c r="F177" s="3" t="str">
        <x:v>Backend regression (isolated DB; mocks where defined)</x:v>
      </x:c>
      <x:c r="G177" s="3" t="str">
        <x:v>Execute pytest test apps.users.tests.test_auth.TestAuthentication::test_student_registration</x:v>
      </x:c>
      <x:c r="H177" s="3" t="str">
        <x:v>Fixtures and assertions in apps/users/tests/test_auth.py</x:v>
      </x:c>
      <x:c r="I177" s="3" t="str">
        <x:v>All assertions in this existing regression test succeed</x:v>
      </x:c>
      <x:c r="J177" s="3" t="str">
        <x:v>Passed in 0.164 seconds</x:v>
      </x:c>
      <x:c r="K177" s="3" t="str"/>
      <x:c r="L177" s="3" t="str">
        <x:v>apps/users/tests/test_auth.py</x:v>
      </x:c>
      <x:c r="M177" s="3" t="str">
        <x:v>evidence/backend-regression.xml</x:v>
      </x:c>
      <x:c r="N177" s="10" t="str">
        <x:v>Passed</x:v>
      </x:c>
      <x:c r="O177" s="10" t="str">
        <x:v>Codex</x:v>
      </x:c>
      <x:c r="P177" s="10" t="str">
        <x:v>14 Oct 2026 — Matching backend regression passed in the rebuilt service; secure onboarding assertions now verify chosen/random credentials.</x:v>
      </x:c>
    </x:row>
    <x:row r="178" ht="80" customHeight="1">
      <x:c r="A178" s="3" t="str">
        <x:v>REGRESSION-048</x:v>
      </x:c>
      <x:c r="B178" s="3" t="str">
        <x:v>Passed</x:v>
      </x:c>
      <x:c r="C178" s="3" t="str">
        <x:v>users</x:v>
      </x:c>
      <x:c r="D178" s="3" t="str">
        <x:v>faculty registration</x:v>
      </x:c>
      <x:c r="E178" s="3" t="str">
        <x:v>As defined in test fixture</x:v>
      </x:c>
      <x:c r="F178" s="3" t="str">
        <x:v>Backend regression (isolated DB; mocks where defined)</x:v>
      </x:c>
      <x:c r="G178" s="3" t="str">
        <x:v>Execute pytest test apps.users.tests.test_auth.TestAuthentication::test_faculty_registration</x:v>
      </x:c>
      <x:c r="H178" s="3" t="str">
        <x:v>Fixtures and assertions in apps/users/tests/test_auth.py</x:v>
      </x:c>
      <x:c r="I178" s="3" t="str">
        <x:v>All assertions in this existing regression test succeed</x:v>
      </x:c>
      <x:c r="J178" s="3" t="str">
        <x:v>Passed in 0.159 seconds</x:v>
      </x:c>
      <x:c r="K178" s="3" t="str"/>
      <x:c r="L178" s="3" t="str">
        <x:v>apps/users/tests/test_auth.py</x:v>
      </x:c>
      <x:c r="M178" s="3" t="str">
        <x:v>evidence/backend-regression.xml</x:v>
      </x:c>
      <x:c r="N178" s="10" t="str">
        <x:v>Passed</x:v>
      </x:c>
      <x:c r="O178" s="10" t="str">
        <x:v>Codex</x:v>
      </x:c>
      <x:c r="P178" s="10" t="str">
        <x:v>14 Oct 2026 — Matching backend regression passed in the rebuilt service; secure onboarding assertions now verify chosen/random credentials.</x:v>
      </x:c>
    </x:row>
    <x:row r="179" ht="80" customHeight="1">
      <x:c r="A179" s="3" t="str">
        <x:v>REGRESSION-049</x:v>
      </x:c>
      <x:c r="B179" s="3" t="str">
        <x:v>Passed</x:v>
      </x:c>
      <x:c r="C179" s="3" t="str">
        <x:v>users</x:v>
      </x:c>
      <x:c r="D179" s="3" t="str">
        <x:v>login unapproved user</x:v>
      </x:c>
      <x:c r="E179" s="3" t="str">
        <x:v>As defined in test fixture</x:v>
      </x:c>
      <x:c r="F179" s="3" t="str">
        <x:v>Backend regression (isolated DB; mocks where defined)</x:v>
      </x:c>
      <x:c r="G179" s="3" t="str">
        <x:v>Execute pytest test apps.users.tests.test_auth.TestAuthentication::test_login_unapproved_user</x:v>
      </x:c>
      <x:c r="H179" s="3" t="str">
        <x:v>Fixtures and assertions in apps/users/tests/test_auth.py</x:v>
      </x:c>
      <x:c r="I179" s="3" t="str">
        <x:v>All assertions in this existing regression test succeed</x:v>
      </x:c>
      <x:c r="J179" s="3" t="str">
        <x:v>Passed in 0.145 seconds</x:v>
      </x:c>
      <x:c r="K179" s="3" t="str"/>
      <x:c r="L179" s="3" t="str">
        <x:v>apps/users/tests/test_auth.py</x:v>
      </x:c>
      <x:c r="M179" s="3" t="str">
        <x:v>evidence/backend-regression.xml</x:v>
      </x:c>
      <x:c r="N179" s="10" t="str">
        <x:v>Passed</x:v>
      </x:c>
      <x:c r="O179" s="10" t="str">
        <x:v>Codex</x:v>
      </x:c>
      <x:c r="P179" s="10" t="str">
        <x:v>14 Oct 2026 — Matching backend regression passed in the rebuilt service; secure onboarding assertions now verify chosen/random credentials.</x:v>
      </x:c>
    </x:row>
    <x:row r="180" ht="80" customHeight="1">
      <x:c r="A180" s="3" t="str">
        <x:v>REGRESSION-050</x:v>
      </x:c>
      <x:c r="B180" s="3" t="str">
        <x:v>Passed</x:v>
      </x:c>
      <x:c r="C180" s="3" t="str">
        <x:v>users</x:v>
      </x:c>
      <x:c r="D180" s="3" t="str">
        <x:v>login first time</x:v>
      </x:c>
      <x:c r="E180" s="3" t="str">
        <x:v>As defined in test fixture</x:v>
      </x:c>
      <x:c r="F180" s="3" t="str">
        <x:v>Backend regression (isolated DB; mocks where defined)</x:v>
      </x:c>
      <x:c r="G180" s="3" t="str">
        <x:v>Execute pytest test apps.users.tests.test_auth.TestAuthentication::test_login_first_time</x:v>
      </x:c>
      <x:c r="H180" s="3" t="str">
        <x:v>Fixtures and assertions in apps/users/tests/test_auth.py</x:v>
      </x:c>
      <x:c r="I180" s="3" t="str">
        <x:v>All assertions in this existing regression test succeed</x:v>
      </x:c>
      <x:c r="J180" s="3" t="str">
        <x:v>Passed in 0.740 seconds</x:v>
      </x:c>
      <x:c r="K180" s="3" t="str"/>
      <x:c r="L180" s="3" t="str">
        <x:v>apps/users/tests/test_auth.py</x:v>
      </x:c>
      <x:c r="M180" s="3" t="str">
        <x:v>evidence/backend-regression.xml</x:v>
      </x:c>
      <x:c r="N180" s="10" t="str">
        <x:v>Passed</x:v>
      </x:c>
      <x:c r="O180" s="10" t="str">
        <x:v>Codex</x:v>
      </x:c>
      <x:c r="P180" s="10" t="str">
        <x:v>14 Oct 2026 — Matching backend regression passed in the rebuilt service; secure onboarding assertions now verify chosen/random credentials.</x:v>
      </x:c>
    </x:row>
    <x:row r="181" ht="80" customHeight="1">
      <x:c r="A181" s="3" t="str">
        <x:v>REGRESSION-051</x:v>
      </x:c>
      <x:c r="B181" s="3" t="str">
        <x:v>Passed</x:v>
      </x:c>
      <x:c r="C181" s="3" t="str">
        <x:v>users</x:v>
      </x:c>
      <x:c r="D181" s="3" t="str">
        <x:v>login success and cookie emission</x:v>
      </x:c>
      <x:c r="E181" s="3" t="str">
        <x:v>As defined in test fixture</x:v>
      </x:c>
      <x:c r="F181" s="3" t="str">
        <x:v>Backend regression (isolated DB; mocks where defined)</x:v>
      </x:c>
      <x:c r="G181" s="3" t="str">
        <x:v>Execute pytest test apps.users.tests.test_auth.TestAuthentication::test_login_success_and_cookie_emission</x:v>
      </x:c>
      <x:c r="H181" s="3" t="str">
        <x:v>Fixtures and assertions in apps/users/tests/test_auth.py</x:v>
      </x:c>
      <x:c r="I181" s="3" t="str">
        <x:v>All assertions in this existing regression test succeed</x:v>
      </x:c>
      <x:c r="J181" s="3" t="str">
        <x:v>Passed in 0.704 seconds</x:v>
      </x:c>
      <x:c r="K181" s="3" t="str"/>
      <x:c r="L181" s="3" t="str">
        <x:v>apps/users/tests/test_auth.py</x:v>
      </x:c>
      <x:c r="M181" s="3" t="str">
        <x:v>evidence/backend-regression.xml</x:v>
      </x:c>
      <x:c r="N181" s="10" t="str">
        <x:v>Passed</x:v>
      </x:c>
      <x:c r="O181" s="10" t="str">
        <x:v>Codex</x:v>
      </x:c>
      <x:c r="P181" s="10" t="str">
        <x:v>14 Oct 2026 — Matching backend regression passed in the rebuilt service; secure onboarding assertions now verify chosen/random credentials.</x:v>
      </x:c>
    </x:row>
    <x:row r="182" ht="80" customHeight="1">
      <x:c r="A182" s="3" t="str">
        <x:v>REGRESSION-052</x:v>
      </x:c>
      <x:c r="B182" s="3" t="str">
        <x:v>Passed</x:v>
      </x:c>
      <x:c r="C182" s="3" t="str">
        <x:v>users</x:v>
      </x:c>
      <x:c r="D182" s="3" t="str">
        <x:v>login concurrent session rejection</x:v>
      </x:c>
      <x:c r="E182" s="3" t="str">
        <x:v>As defined in test fixture</x:v>
      </x:c>
      <x:c r="F182" s="3" t="str">
        <x:v>Backend regression (isolated DB; mocks where defined)</x:v>
      </x:c>
      <x:c r="G182" s="3" t="str">
        <x:v>Execute pytest test apps.users.tests.test_auth.TestAuthentication::test_login_concurrent_session_rejection</x:v>
      </x:c>
      <x:c r="H182" s="3" t="str">
        <x:v>Fixtures and assertions in apps/users/tests/test_auth.py</x:v>
      </x:c>
      <x:c r="I182" s="3" t="str">
        <x:v>All assertions in this existing regression test succeed</x:v>
      </x:c>
      <x:c r="J182" s="3" t="str">
        <x:v>Passed in 1.457 seconds</x:v>
      </x:c>
      <x:c r="K182" s="3" t="str"/>
      <x:c r="L182" s="3" t="str">
        <x:v>apps/users/tests/test_auth.py</x:v>
      </x:c>
      <x:c r="M182" s="3" t="str">
        <x:v>evidence/backend-regression.xml</x:v>
      </x:c>
      <x:c r="N182" s="10" t="str">
        <x:v>Passed</x:v>
      </x:c>
      <x:c r="O182" s="10" t="str">
        <x:v>Codex</x:v>
      </x:c>
      <x:c r="P182" s="10" t="str">
        <x:v>14 Oct 2026 — Matching backend regression passed in the rebuilt service; secure onboarding assertions now verify chosen/random credentials.</x:v>
      </x:c>
    </x:row>
    <x:row r="183" ht="80" customHeight="1">
      <x:c r="A183" s="3" t="str">
        <x:v>REGRESSION-053</x:v>
      </x:c>
      <x:c r="B183" s="3" t="str">
        <x:v>Passed</x:v>
      </x:c>
      <x:c r="C183" s="3" t="str">
        <x:v>users</x:v>
      </x:c>
      <x:c r="D183" s="3" t="str">
        <x:v>get current user</x:v>
      </x:c>
      <x:c r="E183" s="3" t="str">
        <x:v>As defined in test fixture</x:v>
      </x:c>
      <x:c r="F183" s="3" t="str">
        <x:v>Backend regression (isolated DB; mocks where defined)</x:v>
      </x:c>
      <x:c r="G183" s="3" t="str">
        <x:v>Execute pytest test apps.users.tests.test_auth.TestAuthentication::test_get_current_user</x:v>
      </x:c>
      <x:c r="H183" s="3" t="str">
        <x:v>Fixtures and assertions in apps/users/tests/test_auth.py</x:v>
      </x:c>
      <x:c r="I183" s="3" t="str">
        <x:v>All assertions in this existing regression test succeed</x:v>
      </x:c>
      <x:c r="J183" s="3" t="str">
        <x:v>Passed in 0.945 seconds</x:v>
      </x:c>
      <x:c r="K183" s="3" t="str"/>
      <x:c r="L183" s="3" t="str">
        <x:v>apps/users/tests/test_auth.py</x:v>
      </x:c>
      <x:c r="M183" s="3" t="str">
        <x:v>evidence/backend-regression.xml</x:v>
      </x:c>
      <x:c r="N183" s="10" t="str">
        <x:v>Passed</x:v>
      </x:c>
      <x:c r="O183" s="10" t="str">
        <x:v>Codex</x:v>
      </x:c>
      <x:c r="P183" s="10" t="str">
        <x:v>14 Oct 2026 — Matching backend regression passed in the rebuilt service; secure onboarding assertions now verify chosen/random credentials.</x:v>
      </x:c>
    </x:row>
    <x:row r="184" ht="80" customHeight="1">
      <x:c r="A184" s="3" t="str">
        <x:v>REGRESSION-054</x:v>
      </x:c>
      <x:c r="B184" s="3" t="str">
        <x:v>Passed</x:v>
      </x:c>
      <x:c r="C184" s="3" t="str">
        <x:v>users</x:v>
      </x:c>
      <x:c r="D184" s="3" t="str">
        <x:v>logout clears session and cookie</x:v>
      </x:c>
      <x:c r="E184" s="3" t="str">
        <x:v>As defined in test fixture</x:v>
      </x:c>
      <x:c r="F184" s="3" t="str">
        <x:v>Backend regression (isolated DB; mocks where defined)</x:v>
      </x:c>
      <x:c r="G184" s="3" t="str">
        <x:v>Execute pytest test apps.users.tests.test_auth.TestAuthentication::test_logout_clears_session_and_cookie</x:v>
      </x:c>
      <x:c r="H184" s="3" t="str">
        <x:v>Fixtures and assertions in apps/users/tests/test_auth.py</x:v>
      </x:c>
      <x:c r="I184" s="3" t="str">
        <x:v>All assertions in this existing regression test succeed</x:v>
      </x:c>
      <x:c r="J184" s="3" t="str">
        <x:v>Passed in 0.908 seconds</x:v>
      </x:c>
      <x:c r="K184" s="3" t="str"/>
      <x:c r="L184" s="3" t="str">
        <x:v>apps/users/tests/test_auth.py</x:v>
      </x:c>
      <x:c r="M184" s="3" t="str">
        <x:v>evidence/backend-regression.xml</x:v>
      </x:c>
      <x:c r="N184" s="10" t="str">
        <x:v>Passed</x:v>
      </x:c>
      <x:c r="O184" s="10" t="str">
        <x:v>Codex</x:v>
      </x:c>
      <x:c r="P184" s="10" t="str">
        <x:v>14 Oct 2026 — Matching backend regression passed in the rebuilt service; secure onboarding assertions now verify chosen/random credentials.</x:v>
      </x:c>
    </x:row>
    <x:row r="185" ht="80" customHeight="1">
      <x:c r="A185" s="3" t="str">
        <x:v>REGRESSION-055</x:v>
      </x:c>
      <x:c r="B185" s="3" t="str">
        <x:v>Passed</x:v>
      </x:c>
      <x:c r="C185" s="3" t="str">
        <x:v>users</x:v>
      </x:c>
      <x:c r="D185" s="3" t="str">
        <x:v>change password</x:v>
      </x:c>
      <x:c r="E185" s="3" t="str">
        <x:v>As defined in test fixture</x:v>
      </x:c>
      <x:c r="F185" s="3" t="str">
        <x:v>Backend regression (isolated DB; mocks where defined)</x:v>
      </x:c>
      <x:c r="G185" s="3" t="str">
        <x:v>Execute pytest test apps.users.tests.test_auth.TestAuthentication::test_change_password</x:v>
      </x:c>
      <x:c r="H185" s="3" t="str">
        <x:v>Fixtures and assertions in apps/users/tests/test_auth.py</x:v>
      </x:c>
      <x:c r="I185" s="3" t="str">
        <x:v>All assertions in this existing regression test succeed</x:v>
      </x:c>
      <x:c r="J185" s="3" t="str">
        <x:v>Passed in 1.428 seconds</x:v>
      </x:c>
      <x:c r="K185" s="3" t="str"/>
      <x:c r="L185" s="3" t="str">
        <x:v>apps/users/tests/test_auth.py</x:v>
      </x:c>
      <x:c r="M185" s="3" t="str">
        <x:v>evidence/backend-regression.xml</x:v>
      </x:c>
      <x:c r="N185" s="10" t="str">
        <x:v>Passed</x:v>
      </x:c>
      <x:c r="O185" s="10" t="str">
        <x:v>Codex</x:v>
      </x:c>
      <x:c r="P185" s="10" t="str">
        <x:v>14 Oct 2026 — Matching backend regression passed in the rebuilt service; secure onboarding assertions now verify chosen/random credentials.</x:v>
      </x:c>
    </x:row>
    <x:row r="186" ht="80" customHeight="1">
      <x:c r="A186" s="3" t="str">
        <x:v>REGRESSION-056</x:v>
      </x:c>
      <x:c r="B186" s="3" t="str">
        <x:v>Passed</x:v>
      </x:c>
      <x:c r="C186" s="3" t="str">
        <x:v>users</x:v>
      </x:c>
      <x:c r="D186" s="3" t="str">
        <x:v>fetch subjects</x:v>
      </x:c>
      <x:c r="E186" s="3" t="str">
        <x:v>As defined in test fixture</x:v>
      </x:c>
      <x:c r="F186" s="3" t="str">
        <x:v>Backend regression (isolated DB; mocks where defined)</x:v>
      </x:c>
      <x:c r="G186" s="3" t="str">
        <x:v>Execute pytest test apps.users.tests.test_auth.TestAuthentication::test_fetch_subjects</x:v>
      </x:c>
      <x:c r="H186" s="3" t="str">
        <x:v>Fixtures and assertions in apps/users/tests/test_auth.py</x:v>
      </x:c>
      <x:c r="I186" s="3" t="str">
        <x:v>All assertions in this existing regression test succeed</x:v>
      </x:c>
      <x:c r="J186" s="3" t="str">
        <x:v>Passed in 0.565 seconds</x:v>
      </x:c>
      <x:c r="K186" s="3" t="str"/>
      <x:c r="L186" s="3" t="str">
        <x:v>apps/users/tests/test_auth.py</x:v>
      </x:c>
      <x:c r="M186" s="3" t="str">
        <x:v>evidence/backend-regression.xml</x:v>
      </x:c>
      <x:c r="N186" s="10" t="str">
        <x:v>Passed</x:v>
      </x:c>
      <x:c r="O186" s="10" t="str">
        <x:v>Codex</x:v>
      </x:c>
      <x:c r="P186" s="10" t="str">
        <x:v>14 Oct 2026 — Matching backend regression passed in the rebuilt service; secure onboarding assertions now verify chosen/random credentials.</x:v>
      </x:c>
    </x:row>
    <x:row r="187" ht="80" customHeight="1">
      <x:c r="A187" s="3" t="str">
        <x:v>REGRESSION-057</x:v>
      </x:c>
      <x:c r="B187" s="3" t="str">
        <x:v>Passed</x:v>
      </x:c>
      <x:c r="C187" s="3" t="str">
        <x:v>users</x:v>
      </x:c>
      <x:c r="D187" s="3" t="str">
        <x:v>migrate from mongo command</x:v>
      </x:c>
      <x:c r="E187" s="3" t="str">
        <x:v>As defined in test fixture</x:v>
      </x:c>
      <x:c r="F187" s="3" t="str">
        <x:v>Backend regression (isolated DB; mocks where defined)</x:v>
      </x:c>
      <x:c r="G187" s="3" t="str">
        <x:v>Execute pytest test apps.users.tests.test_migrate_from_mongo::test_migrate_from_mongo_command</x:v>
      </x:c>
      <x:c r="H187" s="3" t="str">
        <x:v>Fixtures and assertions in apps/users/tests/test_migrate_from_mongo.py</x:v>
      </x:c>
      <x:c r="I187" s="3" t="str">
        <x:v>All assertions in this existing regression test succeed</x:v>
      </x:c>
      <x:c r="J187" s="3" t="str">
        <x:v>Passed in 4.767 seconds</x:v>
      </x:c>
      <x:c r="K187" s="3" t="str"/>
      <x:c r="L187" s="3" t="str">
        <x:v>apps/users/tests/test_migrate_from_mongo.py</x:v>
      </x:c>
      <x:c r="M187" s="3" t="str">
        <x:v>evidence/backend-regression.xml</x:v>
      </x:c>
      <x:c r="N187" s="10" t="str">
        <x:v>Passed</x:v>
      </x:c>
      <x:c r="O187" s="10" t="str">
        <x:v>Codex</x:v>
      </x:c>
      <x:c r="P187" s="10" t="str">
        <x:v>14 Oct 2026 — Matching backend regression passed in the rebuilt service; secure onboarding assertions now verify chosen/random credentials.</x:v>
      </x:c>
    </x:row>
    <x:row r="188" ht="80" customHeight="1">
      <x:c r="A188" s="3" t="str">
        <x:v>REGRESSION-058</x:v>
      </x:c>
      <x:c r="B188" s="3" t="str">
        <x:v>Passed</x:v>
      </x:c>
      <x:c r="C188" s="3" t="str">
        <x:v>users</x:v>
      </x:c>
      <x:c r="D188" s="3" t="str">
        <x:v>update profile success</x:v>
      </x:c>
      <x:c r="E188" s="3" t="str">
        <x:v>As defined in test fixture</x:v>
      </x:c>
      <x:c r="F188" s="3" t="str">
        <x:v>Backend regression (isolated DB; mocks where defined)</x:v>
      </x:c>
      <x:c r="G188" s="3" t="str">
        <x:v>Execute pytest test apps.users.tests.test_profile.TestUserProfile::test_update_profile_success</x:v>
      </x:c>
      <x:c r="H188" s="3" t="str">
        <x:v>Fixtures and assertions in apps/users/tests/test_profile.py</x:v>
      </x:c>
      <x:c r="I188" s="3" t="str">
        <x:v>All assertions in this existing regression test succeed</x:v>
      </x:c>
      <x:c r="J188" s="3" t="str">
        <x:v>Passed in 0.216 seconds</x:v>
      </x:c>
      <x:c r="K188" s="3" t="str"/>
      <x:c r="L188" s="3" t="str">
        <x:v>apps/users/tests/test_profile.py</x:v>
      </x:c>
      <x:c r="M188" s="3" t="str">
        <x:v>evidence/backend-regression.xml</x:v>
      </x:c>
      <x:c r="N188" s="10" t="str">
        <x:v>Passed</x:v>
      </x:c>
      <x:c r="O188" s="10" t="str">
        <x:v>Codex</x:v>
      </x:c>
      <x:c r="P188" s="10" t="str">
        <x:v>14 Oct 2026 — Matching backend regression passed in the rebuilt service; secure onboarding assertions now verify chosen/random credentials.</x:v>
      </x:c>
    </x:row>
    <x:row r="189" ht="80" customHeight="1">
      <x:c r="A189" s="3" t="str">
        <x:v>REGRESSION-059</x:v>
      </x:c>
      <x:c r="B189" s="3" t="str">
        <x:v>Passed</x:v>
      </x:c>
      <x:c r="C189" s="3" t="str">
        <x:v>users</x:v>
      </x:c>
      <x:c r="D189" s="3" t="str">
        <x:v>update profile empty name or username</x:v>
      </x:c>
      <x:c r="E189" s="3" t="str">
        <x:v>As defined in test fixture</x:v>
      </x:c>
      <x:c r="F189" s="3" t="str">
        <x:v>Backend regression (isolated DB; mocks where defined)</x:v>
      </x:c>
      <x:c r="G189" s="3" t="str">
        <x:v>Execute pytest test apps.users.tests.test_profile.TestUserProfile::test_update_profile_empty_name_or_username</x:v>
      </x:c>
      <x:c r="H189" s="3" t="str">
        <x:v>Fixtures and assertions in apps/users/tests/test_profile.py</x:v>
      </x:c>
      <x:c r="I189" s="3" t="str">
        <x:v>All assertions in this existing regression test succeed</x:v>
      </x:c>
      <x:c r="J189" s="3" t="str">
        <x:v>Passed in 0.348 seconds</x:v>
      </x:c>
      <x:c r="K189" s="3" t="str"/>
      <x:c r="L189" s="3" t="str">
        <x:v>apps/users/tests/test_profile.py</x:v>
      </x:c>
      <x:c r="M189" s="3" t="str">
        <x:v>evidence/backend-regression.xml</x:v>
      </x:c>
      <x:c r="N189" s="10" t="str">
        <x:v>Passed</x:v>
      </x:c>
      <x:c r="O189" s="10" t="str">
        <x:v>Codex</x:v>
      </x:c>
      <x:c r="P189" s="10" t="str">
        <x:v>14 Oct 2026 — Matching backend regression passed in the rebuilt service; secure onboarding assertions now verify chosen/random credentials.</x:v>
      </x:c>
    </x:row>
    <x:row r="190" ht="80" customHeight="1">
      <x:c r="A190" s="3" t="str">
        <x:v>REGRESSION-060</x:v>
      </x:c>
      <x:c r="B190" s="3" t="str">
        <x:v>Passed</x:v>
      </x:c>
      <x:c r="C190" s="3" t="str">
        <x:v>users</x:v>
      </x:c>
      <x:c r="D190" s="3" t="str">
        <x:v>update profile duplicate username</x:v>
      </x:c>
      <x:c r="E190" s="3" t="str">
        <x:v>As defined in test fixture</x:v>
      </x:c>
      <x:c r="F190" s="3" t="str">
        <x:v>Backend regression (isolated DB; mocks where defined)</x:v>
      </x:c>
      <x:c r="G190" s="3" t="str">
        <x:v>Execute pytest test apps.users.tests.test_profile.TestUserProfile::test_update_profile_duplicate_username</x:v>
      </x:c>
      <x:c r="H190" s="3" t="str">
        <x:v>Fixtures and assertions in apps/users/tests/test_profile.py</x:v>
      </x:c>
      <x:c r="I190" s="3" t="str">
        <x:v>All assertions in this existing regression test succeed</x:v>
      </x:c>
      <x:c r="J190" s="3" t="str">
        <x:v>Passed in 0.483 seconds</x:v>
      </x:c>
      <x:c r="K190" s="3" t="str"/>
      <x:c r="L190" s="3" t="str">
        <x:v>apps/users/tests/test_profile.py</x:v>
      </x:c>
      <x:c r="M190" s="3" t="str">
        <x:v>evidence/backend-regression.xml</x:v>
      </x:c>
      <x:c r="N190" s="10" t="str">
        <x:v>Passed</x:v>
      </x:c>
      <x:c r="O190" s="10" t="str">
        <x:v>Codex</x:v>
      </x:c>
      <x:c r="P190" s="10" t="str">
        <x:v>14 Oct 2026 — Matching backend regression passed in the rebuilt service; secure onboarding assertions now verify chosen/random credentials.</x:v>
      </x:c>
    </x:row>
    <x:row r="191" ht="80" customHeight="1">
      <x:c r="A191" s="3" t="str">
        <x:v>REGRESSION-061</x:v>
      </x:c>
      <x:c r="B191" s="3" t="str">
        <x:v>Passed</x:v>
      </x:c>
      <x:c r="C191" s="3" t="str">
        <x:v>users</x:v>
      </x:c>
      <x:c r="D191" s="3" t="str">
        <x:v>upload and get avatar</x:v>
      </x:c>
      <x:c r="E191" s="3" t="str">
        <x:v>As defined in test fixture</x:v>
      </x:c>
      <x:c r="F191" s="3" t="str">
        <x:v>Backend regression (isolated DB; mocks where defined)</x:v>
      </x:c>
      <x:c r="G191" s="3" t="str">
        <x:v>Execute pytest test apps.users.tests.test_profile.TestUserProfile::test_upload_and_get_avatar</x:v>
      </x:c>
      <x:c r="H191" s="3" t="str">
        <x:v>Fixtures and assertions in apps/users/tests/test_profile.py</x:v>
      </x:c>
      <x:c r="I191" s="3" t="str">
        <x:v>All assertions in this existing regression test succeed</x:v>
      </x:c>
      <x:c r="J191" s="3" t="str">
        <x:v>Passed in 0.705 seconds</x:v>
      </x:c>
      <x:c r="K191" s="3" t="str"/>
      <x:c r="L191" s="3" t="str">
        <x:v>apps/users/tests/test_profile.py</x:v>
      </x:c>
      <x:c r="M191" s="3" t="str">
        <x:v>evidence/backend-regression.xml</x:v>
      </x:c>
      <x:c r="N191" s="10" t="str">
        <x:v>Passed</x:v>
      </x:c>
      <x:c r="O191" s="10" t="str">
        <x:v>Codex</x:v>
      </x:c>
      <x:c r="P191" s="10" t="str">
        <x:v>14 Oct 2026 — Matching backend regression passed in the rebuilt service; secure onboarding assertions now verify chosen/random credentials.</x:v>
      </x:c>
    </x:row>
    <x:row r="192" ht="80" customHeight="1">
      <x:c r="A192" s="3" t="str">
        <x:v>REGRESSION-062</x:v>
      </x:c>
      <x:c r="B192" s="3" t="str">
        <x:v>Passed</x:v>
      </x:c>
      <x:c r="C192" s="3" t="str">
        <x:v>users</x:v>
      </x:c>
      <x:c r="D192" s="3" t="str">
        <x:v>remove avatar</x:v>
      </x:c>
      <x:c r="E192" s="3" t="str">
        <x:v>As defined in test fixture</x:v>
      </x:c>
      <x:c r="F192" s="3" t="str">
        <x:v>Backend regression (isolated DB; mocks where defined)</x:v>
      </x:c>
      <x:c r="G192" s="3" t="str">
        <x:v>Execute pytest test apps.users.tests.test_profile.TestUserProfile::test_remove_avatar</x:v>
      </x:c>
      <x:c r="H192" s="3" t="str">
        <x:v>Fixtures and assertions in apps/users/tests/test_profile.py</x:v>
      </x:c>
      <x:c r="I192" s="3" t="str">
        <x:v>All assertions in this existing regression test succeed</x:v>
      </x:c>
      <x:c r="J192" s="3" t="str">
        <x:v>Passed in 0.663 seconds</x:v>
      </x:c>
      <x:c r="K192" s="3" t="str"/>
      <x:c r="L192" s="3" t="str">
        <x:v>apps/users/tests/test_profile.py</x:v>
      </x:c>
      <x:c r="M192" s="3" t="str">
        <x:v>evidence/backend-regression.xml</x:v>
      </x:c>
      <x:c r="N192" s="10" t="str">
        <x:v>Passed</x:v>
      </x:c>
      <x:c r="O192" s="10" t="str">
        <x:v>Codex</x:v>
      </x:c>
      <x:c r="P192" s="10" t="str">
        <x:v>14 Oct 2026 — Matching backend regression passed in the rebuilt service; secure onboarding assertions now verify chosen/random credentials.</x:v>
      </x:c>
    </x:row>
    <x:row r="193" ht="80" customHeight="1">
      <x:c r="A193" s="3" t="str">
        <x:v>REGRESSION-063</x:v>
      </x:c>
      <x:c r="B193" s="3" t="str">
        <x:v>Passed</x:v>
      </x:c>
      <x:c r="C193" s="3" t="str">
        <x:v>users</x:v>
      </x:c>
      <x:c r="D193" s="3" t="str">
        <x:v>password change requires actual password[22it123]</x:v>
      </x:c>
      <x:c r="E193" s="3" t="str">
        <x:v>As defined in test fixture</x:v>
      </x:c>
      <x:c r="F193" s="3" t="str">
        <x:v>Backend regression (isolated DB; mocks where defined)</x:v>
      </x:c>
      <x:c r="G193" s="3" t="str">
        <x:v>Execute pytest test apps.users.tests.test_security_regressions::test_password_change_requires_actual_password[22it123]</x:v>
      </x:c>
      <x:c r="H193" s="3" t="str">
        <x:v>Fixtures and assertions in apps/users/tests/test_security_regressions.py</x:v>
      </x:c>
      <x:c r="I193" s="3" t="str">
        <x:v>All assertions in this existing regression test succeed</x:v>
      </x:c>
      <x:c r="J193" s="3" t="str">
        <x:v>Passed in 2.435 seconds</x:v>
      </x:c>
      <x:c r="K193" s="3" t="str"/>
      <x:c r="L193" s="3" t="str">
        <x:v>apps/users/tests/test_security_regressions.py</x:v>
      </x:c>
      <x:c r="M193" s="3" t="str">
        <x:v>evidence/backend-regression.xml</x:v>
      </x:c>
      <x:c r="N193" s="10" t="str">
        <x:v>Passed</x:v>
      </x:c>
      <x:c r="O193" s="10" t="str">
        <x:v>Codex</x:v>
      </x:c>
      <x:c r="P193" s="10" t="str">
        <x:v>14 Oct 2026 — Matching backend regression passed in the rebuilt service; secure onboarding assertions now verify chosen/random credentials.</x:v>
      </x:c>
    </x:row>
    <x:row r="194" ht="80" customHeight="1">
      <x:c r="A194" s="3" t="str">
        <x:v>REGRESSION-064</x:v>
      </x:c>
      <x:c r="B194" s="3" t="str">
        <x:v>Passed</x:v>
      </x:c>
      <x:c r="C194" s="3" t="str">
        <x:v>users</x:v>
      </x:c>
      <x:c r="D194" s="3" t="str">
        <x:v>password change requires actual password[actualpassword123!]</x:v>
      </x:c>
      <x:c r="E194" s="3" t="str">
        <x:v>As defined in test fixture</x:v>
      </x:c>
      <x:c r="F194" s="3" t="str">
        <x:v>Backend regression (isolated DB; mocks where defined)</x:v>
      </x:c>
      <x:c r="G194" s="3" t="str">
        <x:v>Execute pytest test apps.users.tests.test_security_regressions::test_password_change_requires_actual_password[actualpassword123!]</x:v>
      </x:c>
      <x:c r="H194" s="3" t="str">
        <x:v>Fixtures and assertions in apps/users/tests/test_security_regressions.py</x:v>
      </x:c>
      <x:c r="I194" s="3" t="str">
        <x:v>All assertions in this existing regression test succeed</x:v>
      </x:c>
      <x:c r="J194" s="3" t="str">
        <x:v>Passed in 2.008 seconds</x:v>
      </x:c>
      <x:c r="K194" s="3" t="str"/>
      <x:c r="L194" s="3" t="str">
        <x:v>apps/users/tests/test_security_regressions.py</x:v>
      </x:c>
      <x:c r="M194" s="3" t="str">
        <x:v>evidence/backend-regression.xml</x:v>
      </x:c>
      <x:c r="N194" s="10" t="str">
        <x:v>Passed</x:v>
      </x:c>
      <x:c r="O194" s="10" t="str">
        <x:v>Codex</x:v>
      </x:c>
      <x:c r="P194" s="10" t="str">
        <x:v>14 Oct 2026 — Matching backend regression passed in the rebuilt service; secure onboarding assertions now verify chosen/random credentials.</x:v>
      </x:c>
    </x:row>
    <x:row r="195" ht="80" customHeight="1">
      <x:c r="A195" s="3" t="str">
        <x:v>REGRESSION-065</x:v>
      </x:c>
      <x:c r="B195" s="3" t="str">
        <x:v>Passed</x:v>
      </x:c>
      <x:c r="C195" s="3" t="str">
        <x:v>users</x:v>
      </x:c>
      <x:c r="D195" s="3" t="str">
        <x:v>password change requires actual password[ACTUALPASSWORD123!]</x:v>
      </x:c>
      <x:c r="E195" s="3" t="str">
        <x:v>As defined in test fixture</x:v>
      </x:c>
      <x:c r="F195" s="3" t="str">
        <x:v>Backend regression (isolated DB; mocks where defined)</x:v>
      </x:c>
      <x:c r="G195" s="3" t="str">
        <x:v>Execute pytest test apps.users.tests.test_security_regressions::test_password_change_requires_actual_password[ACTUALPASSWORD123!]</x:v>
      </x:c>
      <x:c r="H195" s="3" t="str">
        <x:v>Fixtures and assertions in apps/users/tests/test_security_regressions.py</x:v>
      </x:c>
      <x:c r="I195" s="3" t="str">
        <x:v>All assertions in this existing regression test succeed</x:v>
      </x:c>
      <x:c r="J195" s="3" t="str">
        <x:v>Passed in 1.677 seconds</x:v>
      </x:c>
      <x:c r="K195" s="3" t="str"/>
      <x:c r="L195" s="3" t="str">
        <x:v>apps/users/tests/test_security_regressions.py</x:v>
      </x:c>
      <x:c r="M195" s="3" t="str">
        <x:v>evidence/backend-regression.xml</x:v>
      </x:c>
      <x:c r="N195" s="10" t="str">
        <x:v>Passed</x:v>
      </x:c>
      <x:c r="O195" s="10" t="str">
        <x:v>Codex</x:v>
      </x:c>
      <x:c r="P195" s="10" t="str">
        <x:v>14 Oct 2026 — Matching backend regression passed in the rebuilt service; secure onboarding assertions now verify chosen/random credentials.</x:v>
      </x:c>
    </x:row>
    <x:row r="196" ht="80" customHeight="1">
      <x:c r="A196" s="3" t="str">
        <x:v>REGRESSION-066</x:v>
      </x:c>
      <x:c r="B196" s="3" t="str">
        <x:v>Passed</x:v>
      </x:c>
      <x:c r="C196" s="3" t="str">
        <x:v>users</x:v>
      </x:c>
      <x:c r="D196" s="3" t="str">
        <x:v>first login password change and revocation</x:v>
      </x:c>
      <x:c r="E196" s="3" t="str">
        <x:v>As defined in test fixture</x:v>
      </x:c>
      <x:c r="F196" s="3" t="str">
        <x:v>Backend regression (isolated DB; mocks where defined)</x:v>
      </x:c>
      <x:c r="G196" s="3" t="str">
        <x:v>Execute pytest test apps.users.tests.test_security_regressions::test_first_login_password_change_and_revocation</x:v>
      </x:c>
      <x:c r="H196" s="3" t="str">
        <x:v>Fixtures and assertions in apps/users/tests/test_security_regressions.py</x:v>
      </x:c>
      <x:c r="I196" s="3" t="str">
        <x:v>All assertions in this existing regression test succeed</x:v>
      </x:c>
      <x:c r="J196" s="3" t="str">
        <x:v>Passed in 2.737 seconds</x:v>
      </x:c>
      <x:c r="K196" s="3" t="str"/>
      <x:c r="L196" s="3" t="str">
        <x:v>apps/users/tests/test_security_regressions.py</x:v>
      </x:c>
      <x:c r="M196" s="3" t="str">
        <x:v>evidence/backend-regression.xml</x:v>
      </x:c>
      <x:c r="N196" s="10" t="str">
        <x:v>Passed</x:v>
      </x:c>
      <x:c r="O196" s="10" t="str">
        <x:v>Codex</x:v>
      </x:c>
      <x:c r="P196" s="10" t="str">
        <x:v>14 Oct 2026 — Matching backend regression passed in the rebuilt service; secure onboarding assertions now verify chosen/random credentials.</x:v>
      </x:c>
    </x:row>
    <x:row r="197" ht="80" customHeight="1">
      <x:c r="A197" s="3" t="str">
        <x:v>REGRESSION-067</x:v>
      </x:c>
      <x:c r="B197" s="3" t="str">
        <x:v>Passed</x:v>
      </x:c>
      <x:c r="C197" s="3" t="str">
        <x:v>users</x:v>
      </x:c>
      <x:c r="D197" s="3" t="str">
        <x:v>weak new password is rejected</x:v>
      </x:c>
      <x:c r="E197" s="3" t="str">
        <x:v>As defined in test fixture</x:v>
      </x:c>
      <x:c r="F197" s="3" t="str">
        <x:v>Backend regression (isolated DB; mocks where defined)</x:v>
      </x:c>
      <x:c r="G197" s="3" t="str">
        <x:v>Execute pytest test apps.users.tests.test_security_regressions::test_weak_new_password_is_rejected</x:v>
      </x:c>
      <x:c r="H197" s="3" t="str">
        <x:v>Fixtures and assertions in apps/users/tests/test_security_regressions.py</x:v>
      </x:c>
      <x:c r="I197" s="3" t="str">
        <x:v>All assertions in this existing regression test succeed</x:v>
      </x:c>
      <x:c r="J197" s="3" t="str">
        <x:v>Passed in 2.530 seconds</x:v>
      </x:c>
      <x:c r="K197" s="3" t="str"/>
      <x:c r="L197" s="3" t="str">
        <x:v>apps/users/tests/test_security_regressions.py</x:v>
      </x:c>
      <x:c r="M197" s="3" t="str">
        <x:v>evidence/backend-regression.xml</x:v>
      </x:c>
      <x:c r="N197" s="10" t="str">
        <x:v>Passed</x:v>
      </x:c>
      <x:c r="O197" s="10" t="str">
        <x:v>Codex</x:v>
      </x:c>
      <x:c r="P197" s="10" t="str">
        <x:v>14 Oct 2026 — Matching backend regression passed in the rebuilt service; secure onboarding assertions now verify chosen/random credentials.</x:v>
      </x:c>
    </x:row>
    <x:row r="198" ht="80" customHeight="1">
      <x:c r="A198" s="3" t="str">
        <x:v>REGRESSION-068</x:v>
      </x:c>
      <x:c r="B198" s="3" t="str">
        <x:v>Passed</x:v>
      </x:c>
      <x:c r="C198" s="3" t="str">
        <x:v>users</x:v>
      </x:c>
      <x:c r="D198" s="3" t="str">
        <x:v>cookie writes require csrf and logout is post</x:v>
      </x:c>
      <x:c r="E198" s="3" t="str">
        <x:v>As defined in test fixture</x:v>
      </x:c>
      <x:c r="F198" s="3" t="str">
        <x:v>Backend regression (isolated DB; mocks where defined)</x:v>
      </x:c>
      <x:c r="G198" s="3" t="str">
        <x:v>Execute pytest test apps.users.tests.test_security_regressions::test_cookie_writes_require_csrf_and_logout_is_post</x:v>
      </x:c>
      <x:c r="H198" s="3" t="str">
        <x:v>Fixtures and assertions in apps/users/tests/test_security_regressions.py</x:v>
      </x:c>
      <x:c r="I198" s="3" t="str">
        <x:v>All assertions in this existing regression test succeed</x:v>
      </x:c>
      <x:c r="J198" s="3" t="str">
        <x:v>Passed in 0.743 seconds</x:v>
      </x:c>
      <x:c r="K198" s="3" t="str"/>
      <x:c r="L198" s="3" t="str">
        <x:v>apps/users/tests/test_security_regressions.py</x:v>
      </x:c>
      <x:c r="M198" s="3" t="str">
        <x:v>evidence/backend-regression.xml</x:v>
      </x:c>
      <x:c r="N198" s="10" t="str">
        <x:v>Passed</x:v>
      </x:c>
      <x:c r="O198" s="10" t="str">
        <x:v>Codex</x:v>
      </x:c>
      <x:c r="P198" s="10" t="str">
        <x:v>14 Oct 2026 — Matching backend regression passed in the rebuilt service; secure onboarding assertions now verify chosen/random credentials.</x:v>
      </x:c>
    </x:row>
    <x:row r="199" ht="80" customHeight="1">
      <x:c r="A199" s="3" t="str">
        <x:v>REGRESSION-069</x:v>
      </x:c>
      <x:c r="B199" s="3" t="str">
        <x:v>Passed</x:v>
      </x:c>
      <x:c r="C199" s="3" t="str">
        <x:v>users</x:v>
      </x:c>
      <x:c r="D199" s="3" t="str">
        <x:v>untrusted origin is rejected with valid csrf</x:v>
      </x:c>
      <x:c r="E199" s="3" t="str">
        <x:v>As defined in test fixture</x:v>
      </x:c>
      <x:c r="F199" s="3" t="str">
        <x:v>Backend regression (isolated DB; mocks where defined)</x:v>
      </x:c>
      <x:c r="G199" s="3" t="str">
        <x:v>Execute pytest test apps.users.tests.test_security_regressions::test_untrusted_origin_is_rejected_with_valid_csrf</x:v>
      </x:c>
      <x:c r="H199" s="3" t="str">
        <x:v>Fixtures and assertions in apps/users/tests/test_security_regressions.py</x:v>
      </x:c>
      <x:c r="I199" s="3" t="str">
        <x:v>All assertions in this existing regression test succeed</x:v>
      </x:c>
      <x:c r="J199" s="3" t="str">
        <x:v>Passed in 1.038 seconds</x:v>
      </x:c>
      <x:c r="K199" s="3" t="str"/>
      <x:c r="L199" s="3" t="str">
        <x:v>apps/users/tests/test_security_regressions.py</x:v>
      </x:c>
      <x:c r="M199" s="3" t="str">
        <x:v>evidence/backend-regression.xml</x:v>
      </x:c>
      <x:c r="N199" s="10" t="str">
        <x:v>Passed</x:v>
      </x:c>
      <x:c r="O199" s="10" t="str">
        <x:v>Codex</x:v>
      </x:c>
      <x:c r="P199" s="10" t="str">
        <x:v>14 Oct 2026 — Matching backend regression passed in the rebuilt service; secure onboarding assertions now verify chosen/random credentials.</x:v>
      </x:c>
    </x:row>
    <x:row r="200" ht="80" customHeight="1">
      <x:c r="A200" s="3" t="str">
        <x:v>REGRESSION-070</x:v>
      </x:c>
      <x:c r="B200" s="3" t="str">
        <x:v>Passed</x:v>
      </x:c>
      <x:c r="C200" s="3" t="str">
        <x:v>users</x:v>
      </x:c>
      <x:c r="D200" s="3" t="str">
        <x:v>bearer writes do not require csrf</x:v>
      </x:c>
      <x:c r="E200" s="3" t="str">
        <x:v>As defined in test fixture</x:v>
      </x:c>
      <x:c r="F200" s="3" t="str">
        <x:v>Backend regression (isolated DB; mocks where defined)</x:v>
      </x:c>
      <x:c r="G200" s="3" t="str">
        <x:v>Execute pytest test apps.users.tests.test_security_regressions::test_bearer_writes_do_not_require_csrf</x:v>
      </x:c>
      <x:c r="H200" s="3" t="str">
        <x:v>Fixtures and assertions in apps/users/tests/test_security_regressions.py</x:v>
      </x:c>
      <x:c r="I200" s="3" t="str">
        <x:v>All assertions in this existing regression test succeed</x:v>
      </x:c>
      <x:c r="J200" s="3" t="str">
        <x:v>Passed in 0.861 seconds</x:v>
      </x:c>
      <x:c r="K200" s="3" t="str"/>
      <x:c r="L200" s="3" t="str">
        <x:v>apps/users/tests/test_security_regressions.py</x:v>
      </x:c>
      <x:c r="M200" s="3" t="str">
        <x:v>evidence/backend-regression.xml</x:v>
      </x:c>
      <x:c r="N200" s="10" t="str">
        <x:v>Passed</x:v>
      </x:c>
      <x:c r="O200" s="10" t="str">
        <x:v>Codex</x:v>
      </x:c>
      <x:c r="P200" s="10" t="str">
        <x:v>14 Oct 2026 — Matching backend regression passed in the rebuilt service; secure onboarding assertions now verify chosen/random credentials.</x:v>
      </x:c>
    </x:row>
    <x:row r="201" ht="80" customHeight="1">
      <x:c r="A201" s="3" t="str">
        <x:v>REGRESSION-071</x:v>
      </x:c>
      <x:c r="B201" s="3" t="str">
        <x:v>Passed</x:v>
      </x:c>
      <x:c r="C201" s="3" t="str">
        <x:v>users</x:v>
      </x:c>
      <x:c r="D201" s="3" t="str">
        <x:v>browser login csrf flow</x:v>
      </x:c>
      <x:c r="E201" s="3" t="str">
        <x:v>As defined in test fixture</x:v>
      </x:c>
      <x:c r="F201" s="3" t="str">
        <x:v>Backend regression (isolated DB; mocks where defined)</x:v>
      </x:c>
      <x:c r="G201" s="3" t="str">
        <x:v>Execute pytest test apps.users.tests.test_security_regressions::test_browser_login_csrf_flow</x:v>
      </x:c>
      <x:c r="H201" s="3" t="str">
        <x:v>Fixtures and assertions in apps/users/tests/test_security_regressions.py</x:v>
      </x:c>
      <x:c r="I201" s="3" t="str">
        <x:v>All assertions in this existing regression test succeed</x:v>
      </x:c>
      <x:c r="J201" s="3" t="str">
        <x:v>Passed in 0.964 seconds</x:v>
      </x:c>
      <x:c r="K201" s="3" t="str"/>
      <x:c r="L201" s="3" t="str">
        <x:v>apps/users/tests/test_security_regressions.py</x:v>
      </x:c>
      <x:c r="M201" s="3" t="str">
        <x:v>evidence/backend-regression.xml</x:v>
      </x:c>
      <x:c r="N201" s="10" t="str">
        <x:v>Passed</x:v>
      </x:c>
      <x:c r="O201" s="10" t="str">
        <x:v>Codex</x:v>
      </x:c>
      <x:c r="P201" s="10" t="str">
        <x:v>14 Oct 2026 — Matching backend regression passed in the rebuilt service; secure onboarding assertions now verify chosen/random credentials.</x:v>
      </x:c>
    </x:row>
    <x:row r="202" ht="80" customHeight="1">
      <x:c r="A202" s="3" t="str">
        <x:v>REGRESSION-072</x:v>
      </x:c>
      <x:c r="B202" s="3" t="str">
        <x:v>Passed</x:v>
      </x:c>
      <x:c r="C202" s="3" t="str">
        <x:v>users</x:v>
      </x:c>
      <x:c r="D202" s="3" t="str">
        <x:v>expired session can login without admin</x:v>
      </x:c>
      <x:c r="E202" s="3" t="str">
        <x:v>As defined in test fixture</x:v>
      </x:c>
      <x:c r="F202" s="3" t="str">
        <x:v>Backend regression (isolated DB; mocks where defined)</x:v>
      </x:c>
      <x:c r="G202" s="3" t="str">
        <x:v>Execute pytest test apps.users.tests.test_security_regressions::test_expired_session_can_login_without_admin</x:v>
      </x:c>
      <x:c r="H202" s="3" t="str">
        <x:v>Fixtures and assertions in apps/users/tests/test_security_regressions.py</x:v>
      </x:c>
      <x:c r="I202" s="3" t="str">
        <x:v>All assertions in this existing regression test succeed</x:v>
      </x:c>
      <x:c r="J202" s="3" t="str">
        <x:v>Passed in 0.836 seconds</x:v>
      </x:c>
      <x:c r="K202" s="3" t="str"/>
      <x:c r="L202" s="3" t="str">
        <x:v>apps/users/tests/test_security_regressions.py</x:v>
      </x:c>
      <x:c r="M202" s="3" t="str">
        <x:v>evidence/backend-regression.xml</x:v>
      </x:c>
      <x:c r="N202" s="10" t="str">
        <x:v>Passed</x:v>
      </x:c>
      <x:c r="O202" s="10" t="str">
        <x:v>Codex</x:v>
      </x:c>
      <x:c r="P202" s="10" t="str">
        <x:v>14 Oct 2026 — Matching backend regression passed in the rebuilt service; secure onboarding assertions now verify chosen/random credentials.</x:v>
      </x:c>
    </x:row>
    <x:row r="203" ht="80" customHeight="1">
      <x:c r="A203" s="3" t="str">
        <x:v>REGRESSION-073</x:v>
      </x:c>
      <x:c r="B203" s="3" t="str">
        <x:v>Passed</x:v>
      </x:c>
      <x:c r="C203" s="3" t="str">
        <x:v>users</x:v>
      </x:c>
      <x:c r="D203" s="3" t="str">
        <x:v>student token without session is rejected</x:v>
      </x:c>
      <x:c r="E203" s="3" t="str">
        <x:v>As defined in test fixture</x:v>
      </x:c>
      <x:c r="F203" s="3" t="str">
        <x:v>Backend regression (isolated DB; mocks where defined)</x:v>
      </x:c>
      <x:c r="G203" s="3" t="str">
        <x:v>Execute pytest test apps.users.tests.test_security_regressions::test_student_token_without_session_is_rejected</x:v>
      </x:c>
      <x:c r="H203" s="3" t="str">
        <x:v>Fixtures and assertions in apps/users/tests/test_security_regressions.py</x:v>
      </x:c>
      <x:c r="I203" s="3" t="str">
        <x:v>All assertions in this existing regression test succeed</x:v>
      </x:c>
      <x:c r="J203" s="3" t="str">
        <x:v>Passed in 0.530 seconds</x:v>
      </x:c>
      <x:c r="K203" s="3" t="str"/>
      <x:c r="L203" s="3" t="str">
        <x:v>apps/users/tests/test_security_regressions.py</x:v>
      </x:c>
      <x:c r="M203" s="3" t="str">
        <x:v>evidence/backend-regression.xml</x:v>
      </x:c>
      <x:c r="N203" s="10" t="str">
        <x:v>Passed</x:v>
      </x:c>
      <x:c r="O203" s="10" t="str">
        <x:v>Codex</x:v>
      </x:c>
      <x:c r="P203" s="10" t="str">
        <x:v>14 Oct 2026 — Matching backend regression passed in the rebuilt service; secure onboarding assertions now verify chosen/random credentials.</x:v>
      </x:c>
    </x:row>
    <x:row r="204" ht="80" customHeight="1">
      <x:c r="A204" s="3" t="str">
        <x:v>REGRESSION-074</x:v>
      </x:c>
      <x:c r="B204" s="3" t="str">
        <x:v>Passed</x:v>
      </x:c>
      <x:c r="C204" s="3" t="str">
        <x:v>users</x:v>
      </x:c>
      <x:c r="D204" s="3" t="str">
        <x:v>faculty cannot delete outside own students[admin]</x:v>
      </x:c>
      <x:c r="E204" s="3" t="str">
        <x:v>As defined in test fixture</x:v>
      </x:c>
      <x:c r="F204" s="3" t="str">
        <x:v>Backend regression (isolated DB; mocks where defined)</x:v>
      </x:c>
      <x:c r="G204" s="3" t="str">
        <x:v>Execute pytest test apps.users.tests.test_security_regressions::test_faculty_cannot_delete_outside_own_students[admin]</x:v>
      </x:c>
      <x:c r="H204" s="3" t="str">
        <x:v>Fixtures and assertions in apps/users/tests/test_security_regressions.py</x:v>
      </x:c>
      <x:c r="I204" s="3" t="str">
        <x:v>All assertions in this existing regression test succeed</x:v>
      </x:c>
      <x:c r="J204" s="3" t="str">
        <x:v>Passed in 0.569 seconds</x:v>
      </x:c>
      <x:c r="K204" s="3" t="str"/>
      <x:c r="L204" s="3" t="str">
        <x:v>apps/users/tests/test_security_regressions.py</x:v>
      </x:c>
      <x:c r="M204" s="3" t="str">
        <x:v>evidence/backend-regression.xml</x:v>
      </x:c>
      <x:c r="N204" s="10" t="str">
        <x:v>Passed</x:v>
      </x:c>
      <x:c r="O204" s="10" t="str">
        <x:v>Codex</x:v>
      </x:c>
      <x:c r="P204" s="10" t="str">
        <x:v>14 Oct 2026 — Matching backend regression passed in the rebuilt service; secure onboarding assertions now verify chosen/random credentials.</x:v>
      </x:c>
    </x:row>
    <x:row r="205" ht="80" customHeight="1">
      <x:c r="A205" s="3" t="str">
        <x:v>REGRESSION-075</x:v>
      </x:c>
      <x:c r="B205" s="3" t="str">
        <x:v>Passed</x:v>
      </x:c>
      <x:c r="C205" s="3" t="str">
        <x:v>users</x:v>
      </x:c>
      <x:c r="D205" s="3" t="str">
        <x:v>faculty cannot delete outside own students[other teacher]</x:v>
      </x:c>
      <x:c r="E205" s="3" t="str">
        <x:v>As defined in test fixture</x:v>
      </x:c>
      <x:c r="F205" s="3" t="str">
        <x:v>Backend regression (isolated DB; mocks where defined)</x:v>
      </x:c>
      <x:c r="G205" s="3" t="str">
        <x:v>Execute pytest test apps.users.tests.test_security_regressions::test_faculty_cannot_delete_outside_own_students[other_teacher]</x:v>
      </x:c>
      <x:c r="H205" s="3" t="str">
        <x:v>Fixtures and assertions in apps/users/tests/test_security_regressions.py</x:v>
      </x:c>
      <x:c r="I205" s="3" t="str">
        <x:v>All assertions in this existing regression test succeed</x:v>
      </x:c>
      <x:c r="J205" s="3" t="str">
        <x:v>Passed in 0.527 seconds</x:v>
      </x:c>
      <x:c r="K205" s="3" t="str"/>
      <x:c r="L205" s="3" t="str">
        <x:v>apps/users/tests/test_security_regressions.py</x:v>
      </x:c>
      <x:c r="M205" s="3" t="str">
        <x:v>evidence/backend-regression.xml</x:v>
      </x:c>
      <x:c r="N205" s="10" t="str">
        <x:v>Passed</x:v>
      </x:c>
      <x:c r="O205" s="10" t="str">
        <x:v>Codex</x:v>
      </x:c>
      <x:c r="P205" s="10" t="str">
        <x:v>14 Oct 2026 — Matching backend regression passed in the rebuilt service; secure onboarding assertions now verify chosen/random credentials.</x:v>
      </x:c>
    </x:row>
    <x:row r="206" ht="80" customHeight="1">
      <x:c r="A206" s="3" t="str">
        <x:v>REGRESSION-076</x:v>
      </x:c>
      <x:c r="B206" s="3" t="str">
        <x:v>Passed</x:v>
      </x:c>
      <x:c r="C206" s="3" t="str">
        <x:v>users</x:v>
      </x:c>
      <x:c r="D206" s="3" t="str">
        <x:v>faculty cannot delete outside own students[other student]</x:v>
      </x:c>
      <x:c r="E206" s="3" t="str">
        <x:v>As defined in test fixture</x:v>
      </x:c>
      <x:c r="F206" s="3" t="str">
        <x:v>Backend regression (isolated DB; mocks where defined)</x:v>
      </x:c>
      <x:c r="G206" s="3" t="str">
        <x:v>Execute pytest test apps.users.tests.test_security_regressions::test_faculty_cannot_delete_outside_own_students[other_student]</x:v>
      </x:c>
      <x:c r="H206" s="3" t="str">
        <x:v>Fixtures and assertions in apps/users/tests/test_security_regressions.py</x:v>
      </x:c>
      <x:c r="I206" s="3" t="str">
        <x:v>All assertions in this existing regression test succeed</x:v>
      </x:c>
      <x:c r="J206" s="3" t="str">
        <x:v>Passed in 0.681 seconds</x:v>
      </x:c>
      <x:c r="K206" s="3" t="str"/>
      <x:c r="L206" s="3" t="str">
        <x:v>apps/users/tests/test_security_regressions.py</x:v>
      </x:c>
      <x:c r="M206" s="3" t="str">
        <x:v>evidence/backend-regression.xml</x:v>
      </x:c>
      <x:c r="N206" s="10" t="str">
        <x:v>Passed</x:v>
      </x:c>
      <x:c r="O206" s="10" t="str">
        <x:v>Codex</x:v>
      </x:c>
      <x:c r="P206" s="10" t="str">
        <x:v>14 Oct 2026 — Matching backend regression passed in the rebuilt service; secure onboarding assertions now verify chosen/random credentials.</x:v>
      </x:c>
    </x:row>
    <x:row r="207" ht="80" customHeight="1">
      <x:c r="A207" s="3" t="str">
        <x:v>REGRESSION-077</x:v>
      </x:c>
      <x:c r="B207" s="3" t="str">
        <x:v>Passed</x:v>
      </x:c>
      <x:c r="C207" s="3" t="str">
        <x:v>users</x:v>
      </x:c>
      <x:c r="D207" s="3" t="str">
        <x:v>faculty cannot spoof faculty id[accept-all-requests]</x:v>
      </x:c>
      <x:c r="E207" s="3" t="str">
        <x:v>As defined in test fixture</x:v>
      </x:c>
      <x:c r="F207" s="3" t="str">
        <x:v>Backend regression (isolated DB; mocks where defined)</x:v>
      </x:c>
      <x:c r="G207" s="3" t="str">
        <x:v>Execute pytest test apps.users.tests.test_security_regressions::test_faculty_cannot_spoof_faculty_id[accept-all-requests]</x:v>
      </x:c>
      <x:c r="H207" s="3" t="str">
        <x:v>Fixtures and assertions in apps/users/tests/test_security_regressions.py</x:v>
      </x:c>
      <x:c r="I207" s="3" t="str">
        <x:v>All assertions in this existing regression test succeed</x:v>
      </x:c>
      <x:c r="J207" s="3" t="str">
        <x:v>Passed in 0.813 seconds</x:v>
      </x:c>
      <x:c r="K207" s="3" t="str"/>
      <x:c r="L207" s="3" t="str">
        <x:v>apps/users/tests/test_security_regressions.py</x:v>
      </x:c>
      <x:c r="M207" s="3" t="str">
        <x:v>evidence/backend-regression.xml</x:v>
      </x:c>
      <x:c r="N207" s="10" t="str">
        <x:v>Passed</x:v>
      </x:c>
      <x:c r="O207" s="10" t="str">
        <x:v>Codex</x:v>
      </x:c>
      <x:c r="P207" s="10" t="str">
        <x:v>14 Oct 2026 — Matching backend regression passed in the rebuilt service; secure onboarding assertions now verify chosen/random credentials.</x:v>
      </x:c>
    </x:row>
    <x:row r="208" ht="80" customHeight="1">
      <x:c r="A208" s="3" t="str">
        <x:v>REGRESSION-078</x:v>
      </x:c>
      <x:c r="B208" s="3" t="str">
        <x:v>Passed</x:v>
      </x:c>
      <x:c r="C208" s="3" t="str">
        <x:v>users</x:v>
      </x:c>
      <x:c r="D208" s="3" t="str">
        <x:v>faculty cannot spoof faculty id[decline-all-requests]</x:v>
      </x:c>
      <x:c r="E208" s="3" t="str">
        <x:v>As defined in test fixture</x:v>
      </x:c>
      <x:c r="F208" s="3" t="str">
        <x:v>Backend regression (isolated DB; mocks where defined)</x:v>
      </x:c>
      <x:c r="G208" s="3" t="str">
        <x:v>Execute pytest test apps.users.tests.test_security_regressions::test_faculty_cannot_spoof_faculty_id[decline-all-requests]</x:v>
      </x:c>
      <x:c r="H208" s="3" t="str">
        <x:v>Fixtures and assertions in apps/users/tests/test_security_regressions.py</x:v>
      </x:c>
      <x:c r="I208" s="3" t="str">
        <x:v>All assertions in this existing regression test succeed</x:v>
      </x:c>
      <x:c r="J208" s="3" t="str">
        <x:v>Passed in 0.799 seconds</x:v>
      </x:c>
      <x:c r="K208" s="3" t="str"/>
      <x:c r="L208" s="3" t="str">
        <x:v>apps/users/tests/test_security_regressions.py</x:v>
      </x:c>
      <x:c r="M208" s="3" t="str">
        <x:v>evidence/backend-regression.xml</x:v>
      </x:c>
      <x:c r="N208" s="10" t="str">
        <x:v>Passed</x:v>
      </x:c>
      <x:c r="O208" s="10" t="str">
        <x:v>Codex</x:v>
      </x:c>
      <x:c r="P208" s="10" t="str">
        <x:v>14 Oct 2026 — Matching backend regression passed in the rebuilt service; secure onboarding assertions now verify chosen/random credentials.</x:v>
      </x:c>
    </x:row>
    <x:row r="209" ht="80" customHeight="1">
      <x:c r="A209" s="3" t="str">
        <x:v>REGRESSION-079</x:v>
      </x:c>
      <x:c r="B209" s="3" t="str">
        <x:v>Passed</x:v>
      </x:c>
      <x:c r="C209" s="3" t="str">
        <x:v>users</x:v>
      </x:c>
      <x:c r="D209" s="3" t="str">
        <x:v>faculty cannot spoof faculty id[bulk-register]</x:v>
      </x:c>
      <x:c r="E209" s="3" t="str">
        <x:v>As defined in test fixture</x:v>
      </x:c>
      <x:c r="F209" s="3" t="str">
        <x:v>Backend regression (isolated DB; mocks where defined)</x:v>
      </x:c>
      <x:c r="G209" s="3" t="str">
        <x:v>Execute pytest test apps.users.tests.test_security_regressions::test_faculty_cannot_spoof_faculty_id[bulk-register]</x:v>
      </x:c>
      <x:c r="H209" s="3" t="str">
        <x:v>Fixtures and assertions in apps/users/tests/test_security_regressions.py</x:v>
      </x:c>
      <x:c r="I209" s="3" t="str">
        <x:v>All assertions in this existing regression test succeed</x:v>
      </x:c>
      <x:c r="J209" s="3" t="str">
        <x:v>Passed in 0.768 seconds</x:v>
      </x:c>
      <x:c r="K209" s="3" t="str"/>
      <x:c r="L209" s="3" t="str">
        <x:v>apps/users/tests/test_security_regressions.py</x:v>
      </x:c>
      <x:c r="M209" s="3" t="str">
        <x:v>evidence/backend-regression.xml</x:v>
      </x:c>
      <x:c r="N209" s="10" t="str">
        <x:v>Passed</x:v>
      </x:c>
      <x:c r="O209" s="10" t="str">
        <x:v>Codex</x:v>
      </x:c>
      <x:c r="P209" s="10" t="str">
        <x:v>14 Oct 2026 — Matching backend regression passed in the rebuilt service; secure onboarding assertions now verify chosen/random credentials.</x:v>
      </x:c>
    </x:row>
    <x:row r="210" ht="80" customHeight="1">
      <x:c r="A210" s="3" t="str">
        <x:v>REGRESSION-080</x:v>
      </x:c>
      <x:c r="B210" s="3" t="str">
        <x:v>Passed</x:v>
      </x:c>
      <x:c r="C210" s="3" t="str">
        <x:v>users</x:v>
      </x:c>
      <x:c r="D210" s="3" t="str">
        <x:v>faculty cannot spoof faculty id[get-students-by-faculty]</x:v>
      </x:c>
      <x:c r="E210" s="3" t="str">
        <x:v>As defined in test fixture</x:v>
      </x:c>
      <x:c r="F210" s="3" t="str">
        <x:v>Backend regression (isolated DB; mocks where defined)</x:v>
      </x:c>
      <x:c r="G210" s="3" t="str">
        <x:v>Execute pytest test apps.users.tests.test_security_regressions::test_faculty_cannot_spoof_faculty_id[get-students-by-faculty]</x:v>
      </x:c>
      <x:c r="H210" s="3" t="str">
        <x:v>Fixtures and assertions in apps/users/tests/test_security_regressions.py</x:v>
      </x:c>
      <x:c r="I210" s="3" t="str">
        <x:v>All assertions in this existing regression test succeed</x:v>
      </x:c>
      <x:c r="J210" s="3" t="str">
        <x:v>Passed in 0.617 seconds</x:v>
      </x:c>
      <x:c r="K210" s="3" t="str"/>
      <x:c r="L210" s="3" t="str">
        <x:v>apps/users/tests/test_security_regressions.py</x:v>
      </x:c>
      <x:c r="M210" s="3" t="str">
        <x:v>evidence/backend-regression.xml</x:v>
      </x:c>
      <x:c r="N210" s="10" t="str">
        <x:v>Passed</x:v>
      </x:c>
      <x:c r="O210" s="10" t="str">
        <x:v>Codex</x:v>
      </x:c>
      <x:c r="P210" s="10" t="str">
        <x:v>14 Oct 2026 — Matching backend regression passed in the rebuilt service; secure onboarding assertions now verify chosen/random credentials.</x:v>
      </x:c>
    </x:row>
    <x:row r="211" ht="80" customHeight="1">
      <x:c r="A211" s="3" t="str">
        <x:v>REGRESSION-081</x:v>
      </x:c>
      <x:c r="B211" s="3" t="str">
        <x:v>Passed</x:v>
      </x:c>
      <x:c r="C211" s="3" t="str">
        <x:v>users</x:v>
      </x:c>
      <x:c r="D211" s="3" t="str">
        <x:v>other faculty cannot manage or inspect contest[update]</x:v>
      </x:c>
      <x:c r="E211" s="3" t="str">
        <x:v>As defined in test fixture</x:v>
      </x:c>
      <x:c r="F211" s="3" t="str">
        <x:v>Backend regression (isolated DB; mocks where defined)</x:v>
      </x:c>
      <x:c r="G211" s="3" t="str">
        <x:v>Execute pytest test apps.users.tests.test_security_regressions::test_other_faculty_cannot_manage_or_inspect_contest[update]</x:v>
      </x:c>
      <x:c r="H211" s="3" t="str">
        <x:v>Fixtures and assertions in apps/users/tests/test_security_regressions.py</x:v>
      </x:c>
      <x:c r="I211" s="3" t="str">
        <x:v>All assertions in this existing regression test succeed</x:v>
      </x:c>
      <x:c r="J211" s="3" t="str">
        <x:v>Passed in 0.696 seconds</x:v>
      </x:c>
      <x:c r="K211" s="3" t="str"/>
      <x:c r="L211" s="3" t="str">
        <x:v>apps/users/tests/test_security_regressions.py</x:v>
      </x:c>
      <x:c r="M211" s="3" t="str">
        <x:v>evidence/backend-regression.xml</x:v>
      </x:c>
      <x:c r="N211" s="10" t="str">
        <x:v>Passed</x:v>
      </x:c>
      <x:c r="O211" s="10" t="str">
        <x:v>Codex</x:v>
      </x:c>
      <x:c r="P211" s="10" t="str">
        <x:v>14 Oct 2026 — Matching backend regression passed in the rebuilt service; secure onboarding assertions now verify chosen/random credentials.</x:v>
      </x:c>
    </x:row>
    <x:row r="212" ht="80" customHeight="1">
      <x:c r="A212" s="3" t="str">
        <x:v>REGRESSION-082</x:v>
      </x:c>
      <x:c r="B212" s="3" t="str">
        <x:v>Passed</x:v>
      </x:c>
      <x:c r="C212" s="3" t="str">
        <x:v>users</x:v>
      </x:c>
      <x:c r="D212" s="3" t="str">
        <x:v>other faculty cannot manage or inspect contest[delete]</x:v>
      </x:c>
      <x:c r="E212" s="3" t="str">
        <x:v>As defined in test fixture</x:v>
      </x:c>
      <x:c r="F212" s="3" t="str">
        <x:v>Backend regression (isolated DB; mocks where defined)</x:v>
      </x:c>
      <x:c r="G212" s="3" t="str">
        <x:v>Execute pytest test apps.users.tests.test_security_regressions::test_other_faculty_cannot_manage_or_inspect_contest[delete]</x:v>
      </x:c>
      <x:c r="H212" s="3" t="str">
        <x:v>Fixtures and assertions in apps/users/tests/test_security_regressions.py</x:v>
      </x:c>
      <x:c r="I212" s="3" t="str">
        <x:v>All assertions in this existing regression test succeed</x:v>
      </x:c>
      <x:c r="J212" s="3" t="str">
        <x:v>Passed in 0.682 seconds</x:v>
      </x:c>
      <x:c r="K212" s="3" t="str"/>
      <x:c r="L212" s="3" t="str">
        <x:v>apps/users/tests/test_security_regressions.py</x:v>
      </x:c>
      <x:c r="M212" s="3" t="str">
        <x:v>evidence/backend-regression.xml</x:v>
      </x:c>
      <x:c r="N212" s="10" t="str">
        <x:v>Passed</x:v>
      </x:c>
      <x:c r="O212" s="10" t="str">
        <x:v>Codex</x:v>
      </x:c>
      <x:c r="P212" s="10" t="str">
        <x:v>14 Oct 2026 — Matching backend regression passed in the rebuilt service; secure onboarding assertions now verify chosen/random credentials.</x:v>
      </x:c>
    </x:row>
    <x:row r="213" ht="80" customHeight="1">
      <x:c r="A213" s="3" t="str">
        <x:v>REGRESSION-083</x:v>
      </x:c>
      <x:c r="B213" s="3" t="str">
        <x:v>Passed</x:v>
      </x:c>
      <x:c r="C213" s="3" t="str">
        <x:v>users</x:v>
      </x:c>
      <x:c r="D213" s="3" t="str">
        <x:v>other faculty cannot manage or inspect contest[assign]</x:v>
      </x:c>
      <x:c r="E213" s="3" t="str">
        <x:v>As defined in test fixture</x:v>
      </x:c>
      <x:c r="F213" s="3" t="str">
        <x:v>Backend regression (isolated DB; mocks where defined)</x:v>
      </x:c>
      <x:c r="G213" s="3" t="str">
        <x:v>Execute pytest test apps.users.tests.test_security_regressions::test_other_faculty_cannot_manage_or_inspect_contest[assign]</x:v>
      </x:c>
      <x:c r="H213" s="3" t="str">
        <x:v>Fixtures and assertions in apps/users/tests/test_security_regressions.py</x:v>
      </x:c>
      <x:c r="I213" s="3" t="str">
        <x:v>All assertions in this existing regression test succeed</x:v>
      </x:c>
      <x:c r="J213" s="3" t="str">
        <x:v>Passed in 0.739 seconds</x:v>
      </x:c>
      <x:c r="K213" s="3" t="str"/>
      <x:c r="L213" s="3" t="str">
        <x:v>apps/users/tests/test_security_regressions.py</x:v>
      </x:c>
      <x:c r="M213" s="3" t="str">
        <x:v>evidence/backend-regression.xml</x:v>
      </x:c>
      <x:c r="N213" s="10" t="str">
        <x:v>Passed</x:v>
      </x:c>
      <x:c r="O213" s="10" t="str">
        <x:v>Codex</x:v>
      </x:c>
      <x:c r="P213" s="10" t="str">
        <x:v>14 Oct 2026 — Matching backend regression passed in the rebuilt service; secure onboarding assertions now verify chosen/random credentials.</x:v>
      </x:c>
    </x:row>
    <x:row r="214" ht="80" customHeight="1">
      <x:c r="A214" s="3" t="str">
        <x:v>REGRESSION-084</x:v>
      </x:c>
      <x:c r="B214" s="3" t="str">
        <x:v>Passed</x:v>
      </x:c>
      <x:c r="C214" s="3" t="str">
        <x:v>users</x:v>
      </x:c>
      <x:c r="D214" s="3" t="str">
        <x:v>other faculty cannot manage or inspect contest[unassign]</x:v>
      </x:c>
      <x:c r="E214" s="3" t="str">
        <x:v>As defined in test fixture</x:v>
      </x:c>
      <x:c r="F214" s="3" t="str">
        <x:v>Backend regression (isolated DB; mocks where defined)</x:v>
      </x:c>
      <x:c r="G214" s="3" t="str">
        <x:v>Execute pytest test apps.users.tests.test_security_regressions::test_other_faculty_cannot_manage_or_inspect_contest[unassign]</x:v>
      </x:c>
      <x:c r="H214" s="3" t="str">
        <x:v>Fixtures and assertions in apps/users/tests/test_security_regressions.py</x:v>
      </x:c>
      <x:c r="I214" s="3" t="str">
        <x:v>All assertions in this existing regression test succeed</x:v>
      </x:c>
      <x:c r="J214" s="3" t="str">
        <x:v>Passed in 0.779 seconds</x:v>
      </x:c>
      <x:c r="K214" s="3" t="str"/>
      <x:c r="L214" s="3" t="str">
        <x:v>apps/users/tests/test_security_regressions.py</x:v>
      </x:c>
      <x:c r="M214" s="3" t="str">
        <x:v>evidence/backend-regression.xml</x:v>
      </x:c>
      <x:c r="N214" s="10" t="str">
        <x:v>Passed</x:v>
      </x:c>
      <x:c r="O214" s="10" t="str">
        <x:v>Codex</x:v>
      </x:c>
      <x:c r="P214" s="10" t="str">
        <x:v>14 Oct 2026 — Matching backend regression passed in the rebuilt service; secure onboarding assertions now verify chosen/random credentials.</x:v>
      </x:c>
    </x:row>
    <x:row r="215" ht="80" customHeight="1">
      <x:c r="A215" s="3" t="str">
        <x:v>REGRESSION-085</x:v>
      </x:c>
      <x:c r="B215" s="3" t="str">
        <x:v>Passed</x:v>
      </x:c>
      <x:c r="C215" s="3" t="str">
        <x:v>users</x:v>
      </x:c>
      <x:c r="D215" s="3" t="str">
        <x:v>other faculty cannot manage or inspect contest[dashboard]</x:v>
      </x:c>
      <x:c r="E215" s="3" t="str">
        <x:v>As defined in test fixture</x:v>
      </x:c>
      <x:c r="F215" s="3" t="str">
        <x:v>Backend regression (isolated DB; mocks where defined)</x:v>
      </x:c>
      <x:c r="G215" s="3" t="str">
        <x:v>Execute pytest test apps.users.tests.test_security_regressions::test_other_faculty_cannot_manage_or_inspect_contest[dashboard]</x:v>
      </x:c>
      <x:c r="H215" s="3" t="str">
        <x:v>Fixtures and assertions in apps/users/tests/test_security_regressions.py</x:v>
      </x:c>
      <x:c r="I215" s="3" t="str">
        <x:v>All assertions in this existing regression test succeed</x:v>
      </x:c>
      <x:c r="J215" s="3" t="str">
        <x:v>Passed in 0.808 seconds</x:v>
      </x:c>
      <x:c r="K215" s="3" t="str"/>
      <x:c r="L215" s="3" t="str">
        <x:v>apps/users/tests/test_security_regressions.py</x:v>
      </x:c>
      <x:c r="M215" s="3" t="str">
        <x:v>evidence/backend-regression.xml</x:v>
      </x:c>
      <x:c r="N215" s="10" t="str">
        <x:v>Passed</x:v>
      </x:c>
      <x:c r="O215" s="10" t="str">
        <x:v>Codex</x:v>
      </x:c>
      <x:c r="P215" s="10" t="str">
        <x:v>14 Oct 2026 — Matching backend regression passed in the rebuilt service; secure onboarding assertions now verify chosen/random credentials.</x:v>
      </x:c>
    </x:row>
    <x:row r="216" ht="80" customHeight="1">
      <x:c r="A216" s="3" t="str">
        <x:v>REGRESSION-086</x:v>
      </x:c>
      <x:c r="B216" s="3" t="str">
        <x:v>Passed</x:v>
      </x:c>
      <x:c r="C216" s="3" t="str">
        <x:v>users</x:v>
      </x:c>
      <x:c r="D216" s="3" t="str">
        <x:v>other faculty cannot manage or inspect contest[assigned]</x:v>
      </x:c>
      <x:c r="E216" s="3" t="str">
        <x:v>As defined in test fixture</x:v>
      </x:c>
      <x:c r="F216" s="3" t="str">
        <x:v>Backend regression (isolated DB; mocks where defined)</x:v>
      </x:c>
      <x:c r="G216" s="3" t="str">
        <x:v>Execute pytest test apps.users.tests.test_security_regressions::test_other_faculty_cannot_manage_or_inspect_contest[assigned]</x:v>
      </x:c>
      <x:c r="H216" s="3" t="str">
        <x:v>Fixtures and assertions in apps/users/tests/test_security_regressions.py</x:v>
      </x:c>
      <x:c r="I216" s="3" t="str">
        <x:v>All assertions in this existing regression test succeed</x:v>
      </x:c>
      <x:c r="J216" s="3" t="str">
        <x:v>Passed in 0.769 seconds</x:v>
      </x:c>
      <x:c r="K216" s="3" t="str"/>
      <x:c r="L216" s="3" t="str">
        <x:v>apps/users/tests/test_security_regressions.py</x:v>
      </x:c>
      <x:c r="M216" s="3" t="str">
        <x:v>evidence/backend-regression.xml</x:v>
      </x:c>
      <x:c r="N216" s="10" t="str">
        <x:v>Passed</x:v>
      </x:c>
      <x:c r="O216" s="10" t="str">
        <x:v>Codex</x:v>
      </x:c>
      <x:c r="P216" s="10" t="str">
        <x:v>14 Oct 2026 — Matching backend regression passed in the rebuilt service; secure onboarding assertions now verify chosen/random credentials.</x:v>
      </x:c>
    </x:row>
    <x:row r="217" ht="80" customHeight="1">
      <x:c r="A217" s="3" t="str">
        <x:v>REGRESSION-087</x:v>
      </x:c>
      <x:c r="B217" s="3" t="str">
        <x:v>Passed</x:v>
      </x:c>
      <x:c r="C217" s="3" t="str">
        <x:v>users</x:v>
      </x:c>
      <x:c r="D217" s="3" t="str">
        <x:v>other faculty cannot manage or inspect contest[unassigned]</x:v>
      </x:c>
      <x:c r="E217" s="3" t="str">
        <x:v>As defined in test fixture</x:v>
      </x:c>
      <x:c r="F217" s="3" t="str">
        <x:v>Backend regression (isolated DB; mocks where defined)</x:v>
      </x:c>
      <x:c r="G217" s="3" t="str">
        <x:v>Execute pytest test apps.users.tests.test_security_regressions::test_other_faculty_cannot_manage_or_inspect_contest[unassigned]</x:v>
      </x:c>
      <x:c r="H217" s="3" t="str">
        <x:v>Fixtures and assertions in apps/users/tests/test_security_regressions.py</x:v>
      </x:c>
      <x:c r="I217" s="3" t="str">
        <x:v>All assertions in this existing regression test succeed</x:v>
      </x:c>
      <x:c r="J217" s="3" t="str">
        <x:v>Passed in 0.774 seconds</x:v>
      </x:c>
      <x:c r="K217" s="3" t="str"/>
      <x:c r="L217" s="3" t="str">
        <x:v>apps/users/tests/test_security_regressions.py</x:v>
      </x:c>
      <x:c r="M217" s="3" t="str">
        <x:v>evidence/backend-regression.xml</x:v>
      </x:c>
      <x:c r="N217" s="10" t="str">
        <x:v>Passed</x:v>
      </x:c>
      <x:c r="O217" s="10" t="str">
        <x:v>Codex</x:v>
      </x:c>
      <x:c r="P217" s="10" t="str">
        <x:v>14 Oct 2026 — Matching backend regression passed in the rebuilt service; secure onboarding assertions now verify chosen/random credentials.</x:v>
      </x:c>
    </x:row>
    <x:row r="218" ht="80" customHeight="1">
      <x:c r="A218" s="3" t="str">
        <x:v>REGRESSION-088</x:v>
      </x:c>
      <x:c r="B218" s="3" t="str">
        <x:v>Passed</x:v>
      </x:c>
      <x:c r="C218" s="3" t="str">
        <x:v>users</x:v>
      </x:c>
      <x:c r="D218" s="3" t="str">
        <x:v>contest cannot include another facultys private problem[create]</x:v>
      </x:c>
      <x:c r="E218" s="3" t="str">
        <x:v>As defined in test fixture</x:v>
      </x:c>
      <x:c r="F218" s="3" t="str">
        <x:v>Backend regression (isolated DB; mocks where defined)</x:v>
      </x:c>
      <x:c r="G218" s="3" t="str">
        <x:v>Execute pytest test apps.users.tests.test_security_regressions::test_contest_cannot_include_another_facultys_private_problem[create]</x:v>
      </x:c>
      <x:c r="H218" s="3" t="str">
        <x:v>Fixtures and assertions in apps/users/tests/test_security_regressions.py</x:v>
      </x:c>
      <x:c r="I218" s="3" t="str">
        <x:v>All assertions in this existing regression test succeed</x:v>
      </x:c>
      <x:c r="J218" s="3" t="str">
        <x:v>Passed in 0.717 seconds</x:v>
      </x:c>
      <x:c r="K218" s="3" t="str"/>
      <x:c r="L218" s="3" t="str">
        <x:v>apps/users/tests/test_security_regressions.py</x:v>
      </x:c>
      <x:c r="M218" s="3" t="str">
        <x:v>evidence/backend-regression.xml</x:v>
      </x:c>
      <x:c r="N218" s="10" t="str">
        <x:v>Passed</x:v>
      </x:c>
      <x:c r="O218" s="10" t="str">
        <x:v>Codex</x:v>
      </x:c>
      <x:c r="P218" s="10" t="str">
        <x:v>14 Oct 2026 — Matching backend regression passed in the rebuilt service; secure onboarding assertions now verify chosen/random credentials.</x:v>
      </x:c>
    </x:row>
    <x:row r="219" ht="80" customHeight="1">
      <x:c r="A219" s="3" t="str">
        <x:v>REGRESSION-089</x:v>
      </x:c>
      <x:c r="B219" s="3" t="str">
        <x:v>Passed</x:v>
      </x:c>
      <x:c r="C219" s="3" t="str">
        <x:v>users</x:v>
      </x:c>
      <x:c r="D219" s="3" t="str">
        <x:v>contest cannot include another facultys private problem[update]</x:v>
      </x:c>
      <x:c r="E219" s="3" t="str">
        <x:v>As defined in test fixture</x:v>
      </x:c>
      <x:c r="F219" s="3" t="str">
        <x:v>Backend regression (isolated DB; mocks where defined)</x:v>
      </x:c>
      <x:c r="G219" s="3" t="str">
        <x:v>Execute pytest test apps.users.tests.test_security_regressions::test_contest_cannot_include_another_facultys_private_problem[update]</x:v>
      </x:c>
      <x:c r="H219" s="3" t="str">
        <x:v>Fixtures and assertions in apps/users/tests/test_security_regressions.py</x:v>
      </x:c>
      <x:c r="I219" s="3" t="str">
        <x:v>All assertions in this existing regression test succeed</x:v>
      </x:c>
      <x:c r="J219" s="3" t="str">
        <x:v>Passed in 0.604 seconds</x:v>
      </x:c>
      <x:c r="K219" s="3" t="str"/>
      <x:c r="L219" s="3" t="str">
        <x:v>apps/users/tests/test_security_regressions.py</x:v>
      </x:c>
      <x:c r="M219" s="3" t="str">
        <x:v>evidence/backend-regression.xml</x:v>
      </x:c>
      <x:c r="N219" s="10" t="str">
        <x:v>Passed</x:v>
      </x:c>
      <x:c r="O219" s="10" t="str">
        <x:v>Codex</x:v>
      </x:c>
      <x:c r="P219" s="10" t="str">
        <x:v>14 Oct 2026 — Matching backend regression passed in the rebuilt service; secure onboarding assertions now verify chosen/random credentials.</x:v>
      </x:c>
    </x:row>
    <x:row r="220" ht="80" customHeight="1">
      <x:c r="A220" s="3" t="str">
        <x:v>REGRESSION-090</x:v>
      </x:c>
      <x:c r="B220" s="3" t="str">
        <x:v>Passed</x:v>
      </x:c>
      <x:c r="C220" s="3" t="str">
        <x:v>users</x:v>
      </x:c>
      <x:c r="D220" s="3" t="str">
        <x:v>unassigned execution is denied before judge[other student]</x:v>
      </x:c>
      <x:c r="E220" s="3" t="str">
        <x:v>As defined in test fixture</x:v>
      </x:c>
      <x:c r="F220" s="3" t="str">
        <x:v>Backend regression (isolated DB; mocks where defined)</x:v>
      </x:c>
      <x:c r="G220" s="3" t="str">
        <x:v>Execute pytest test apps.users.tests.test_security_regressions::test_unassigned_execution_is_denied_before_judge[other_student]</x:v>
      </x:c>
      <x:c r="H220" s="3" t="str">
        <x:v>Fixtures and assertions in apps/users/tests/test_security_regressions.py</x:v>
      </x:c>
      <x:c r="I220" s="3" t="str">
        <x:v>All assertions in this existing regression test succeed</x:v>
      </x:c>
      <x:c r="J220" s="3" t="str">
        <x:v>Passed in 0.561 seconds</x:v>
      </x:c>
      <x:c r="K220" s="3" t="str"/>
      <x:c r="L220" s="3" t="str">
        <x:v>apps/users/tests/test_security_regressions.py</x:v>
      </x:c>
      <x:c r="M220" s="3" t="str">
        <x:v>evidence/backend-regression.xml</x:v>
      </x:c>
      <x:c r="N220" s="10" t="str">
        <x:v>Passed</x:v>
      </x:c>
      <x:c r="O220" s="10" t="str">
        <x:v>Codex</x:v>
      </x:c>
      <x:c r="P220" s="10" t="str">
        <x:v>14 Oct 2026 — Matching backend regression passed in the rebuilt service; secure onboarding assertions now verify chosen/random credentials.</x:v>
      </x:c>
    </x:row>
    <x:row r="221" ht="80" customHeight="1">
      <x:c r="A221" s="3" t="str">
        <x:v>REGRESSION-091</x:v>
      </x:c>
      <x:c r="B221" s="3" t="str">
        <x:v>Passed</x:v>
      </x:c>
      <x:c r="C221" s="3" t="str">
        <x:v>users</x:v>
      </x:c>
      <x:c r="D221" s="3" t="str">
        <x:v>unassigned execution is denied before judge[other teacher]</x:v>
      </x:c>
      <x:c r="E221" s="3" t="str">
        <x:v>As defined in test fixture</x:v>
      </x:c>
      <x:c r="F221" s="3" t="str">
        <x:v>Backend regression (isolated DB; mocks where defined)</x:v>
      </x:c>
      <x:c r="G221" s="3" t="str">
        <x:v>Execute pytest test apps.users.tests.test_security_regressions::test_unassigned_execution_is_denied_before_judge[other_teacher]</x:v>
      </x:c>
      <x:c r="H221" s="3" t="str">
        <x:v>Fixtures and assertions in apps/users/tests/test_security_regressions.py</x:v>
      </x:c>
      <x:c r="I221" s="3" t="str">
        <x:v>All assertions in this existing regression test succeed</x:v>
      </x:c>
      <x:c r="J221" s="3" t="str">
        <x:v>Passed in 0.505 seconds</x:v>
      </x:c>
      <x:c r="K221" s="3" t="str"/>
      <x:c r="L221" s="3" t="str">
        <x:v>apps/users/tests/test_security_regressions.py</x:v>
      </x:c>
      <x:c r="M221" s="3" t="str">
        <x:v>evidence/backend-regression.xml</x:v>
      </x:c>
      <x:c r="N221" s="10" t="str">
        <x:v>Passed</x:v>
      </x:c>
      <x:c r="O221" s="10" t="str">
        <x:v>Codex</x:v>
      </x:c>
      <x:c r="P221" s="10" t="str">
        <x:v>14 Oct 2026 — Matching backend regression passed in the rebuilt service; secure onboarding assertions now verify chosen/random credentials.</x:v>
      </x:c>
    </x:row>
    <x:row r="222" ht="80" customHeight="1">
      <x:c r="A222" s="3" t="str">
        <x:v>REGRESSION-092</x:v>
      </x:c>
      <x:c r="B222" s="3" t="str">
        <x:v>Passed</x:v>
      </x:c>
      <x:c r="C222" s="3" t="str">
        <x:v>users</x:v>
      </x:c>
      <x:c r="D222" s="3" t="str">
        <x:v>contest windows protect execution and reads[execute-upcoming]</x:v>
      </x:c>
      <x:c r="E222" s="3" t="str">
        <x:v>As defined in test fixture</x:v>
      </x:c>
      <x:c r="F222" s="3" t="str">
        <x:v>Backend regression (isolated DB; mocks where defined)</x:v>
      </x:c>
      <x:c r="G222" s="3" t="str">
        <x:v>Execute pytest test apps.users.tests.test_security_regressions::test_contest_windows_protect_execution_and_reads[execute-upcoming]</x:v>
      </x:c>
      <x:c r="H222" s="3" t="str">
        <x:v>Fixtures and assertions in apps/users/tests/test_security_regressions.py</x:v>
      </x:c>
      <x:c r="I222" s="3" t="str">
        <x:v>All assertions in this existing regression test succeed</x:v>
      </x:c>
      <x:c r="J222" s="3" t="str">
        <x:v>Passed in 0.573 seconds</x:v>
      </x:c>
      <x:c r="K222" s="3" t="str"/>
      <x:c r="L222" s="3" t="str">
        <x:v>apps/users/tests/test_security_regressions.py</x:v>
      </x:c>
      <x:c r="M222" s="3" t="str">
        <x:v>evidence/backend-regression.xml</x:v>
      </x:c>
      <x:c r="N222" s="10" t="str">
        <x:v>Passed</x:v>
      </x:c>
      <x:c r="O222" s="10" t="str">
        <x:v>Codex</x:v>
      </x:c>
      <x:c r="P222" s="10" t="str">
        <x:v>14 Oct 2026 — Matching backend regression passed in the rebuilt service; secure onboarding assertions now verify chosen/random credentials.</x:v>
      </x:c>
    </x:row>
    <x:row r="223" ht="80" customHeight="1">
      <x:c r="A223" s="3" t="str">
        <x:v>REGRESSION-093</x:v>
      </x:c>
      <x:c r="B223" s="3" t="str">
        <x:v>Passed</x:v>
      </x:c>
      <x:c r="C223" s="3" t="str">
        <x:v>users</x:v>
      </x:c>
      <x:c r="D223" s="3" t="str">
        <x:v>contest windows protect execution and reads[execute-completed]</x:v>
      </x:c>
      <x:c r="E223" s="3" t="str">
        <x:v>As defined in test fixture</x:v>
      </x:c>
      <x:c r="F223" s="3" t="str">
        <x:v>Backend regression (isolated DB; mocks where defined)</x:v>
      </x:c>
      <x:c r="G223" s="3" t="str">
        <x:v>Execute pytest test apps.users.tests.test_security_regressions::test_contest_windows_protect_execution_and_reads[execute-completed]</x:v>
      </x:c>
      <x:c r="H223" s="3" t="str">
        <x:v>Fixtures and assertions in apps/users/tests/test_security_regressions.py</x:v>
      </x:c>
      <x:c r="I223" s="3" t="str">
        <x:v>All assertions in this existing regression test succeed</x:v>
      </x:c>
      <x:c r="J223" s="3" t="str">
        <x:v>Passed in 0.725 seconds</x:v>
      </x:c>
      <x:c r="K223" s="3" t="str"/>
      <x:c r="L223" s="3" t="str">
        <x:v>apps/users/tests/test_security_regressions.py</x:v>
      </x:c>
      <x:c r="M223" s="3" t="str">
        <x:v>evidence/backend-regression.xml</x:v>
      </x:c>
      <x:c r="N223" s="10" t="str">
        <x:v>Passed</x:v>
      </x:c>
      <x:c r="O223" s="10" t="str">
        <x:v>Codex</x:v>
      </x:c>
      <x:c r="P223" s="10" t="str">
        <x:v>14 Oct 2026 — Matching backend regression passed in the rebuilt service; secure onboarding assertions now verify chosen/random credentials.</x:v>
      </x:c>
    </x:row>
    <x:row r="224" ht="80" customHeight="1">
      <x:c r="A224" s="3" t="str">
        <x:v>REGRESSION-094</x:v>
      </x:c>
      <x:c r="B224" s="3" t="str">
        <x:v>Passed</x:v>
      </x:c>
      <x:c r="C224" s="3" t="str">
        <x:v>users</x:v>
      </x:c>
      <x:c r="D224" s="3" t="str">
        <x:v>contest windows protect execution and reads[detail-upcoming]</x:v>
      </x:c>
      <x:c r="E224" s="3" t="str">
        <x:v>As defined in test fixture</x:v>
      </x:c>
      <x:c r="F224" s="3" t="str">
        <x:v>Backend regression (isolated DB; mocks where defined)</x:v>
      </x:c>
      <x:c r="G224" s="3" t="str">
        <x:v>Execute pytest test apps.users.tests.test_security_regressions::test_contest_windows_protect_execution_and_reads[detail-upcoming]</x:v>
      </x:c>
      <x:c r="H224" s="3" t="str">
        <x:v>Fixtures and assertions in apps/users/tests/test_security_regressions.py</x:v>
      </x:c>
      <x:c r="I224" s="3" t="str">
        <x:v>All assertions in this existing regression test succeed</x:v>
      </x:c>
      <x:c r="J224" s="3" t="str">
        <x:v>Passed in 0.709 seconds</x:v>
      </x:c>
      <x:c r="K224" s="3" t="str"/>
      <x:c r="L224" s="3" t="str">
        <x:v>apps/users/tests/test_security_regressions.py</x:v>
      </x:c>
      <x:c r="M224" s="3" t="str">
        <x:v>evidence/backend-regression.xml</x:v>
      </x:c>
      <x:c r="N224" s="10" t="str">
        <x:v>Passed</x:v>
      </x:c>
      <x:c r="O224" s="10" t="str">
        <x:v>Codex</x:v>
      </x:c>
      <x:c r="P224" s="10" t="str">
        <x:v>14 Oct 2026 — Matching backend regression passed in the rebuilt service; secure onboarding assertions now verify chosen/random credentials.</x:v>
      </x:c>
    </x:row>
    <x:row r="225" ht="80" customHeight="1">
      <x:c r="A225" s="3" t="str">
        <x:v>REGRESSION-095</x:v>
      </x:c>
      <x:c r="B225" s="3" t="str">
        <x:v>Passed</x:v>
      </x:c>
      <x:c r="C225" s="3" t="str">
        <x:v>users</x:v>
      </x:c>
      <x:c r="D225" s="3" t="str">
        <x:v>contest windows protect execution and reads[detail-completed]</x:v>
      </x:c>
      <x:c r="E225" s="3" t="str">
        <x:v>As defined in test fixture</x:v>
      </x:c>
      <x:c r="F225" s="3" t="str">
        <x:v>Backend regression (isolated DB; mocks where defined)</x:v>
      </x:c>
      <x:c r="G225" s="3" t="str">
        <x:v>Execute pytest test apps.users.tests.test_security_regressions::test_contest_windows_protect_execution_and_reads[detail-completed]</x:v>
      </x:c>
      <x:c r="H225" s="3" t="str">
        <x:v>Fixtures and assertions in apps/users/tests/test_security_regressions.py</x:v>
      </x:c>
      <x:c r="I225" s="3" t="str">
        <x:v>All assertions in this existing regression test succeed</x:v>
      </x:c>
      <x:c r="J225" s="3" t="str">
        <x:v>Passed in 0.667 seconds</x:v>
      </x:c>
      <x:c r="K225" s="3" t="str"/>
      <x:c r="L225" s="3" t="str">
        <x:v>apps/users/tests/test_security_regressions.py</x:v>
      </x:c>
      <x:c r="M225" s="3" t="str">
        <x:v>evidence/backend-regression.xml</x:v>
      </x:c>
      <x:c r="N225" s="10" t="str">
        <x:v>Passed</x:v>
      </x:c>
      <x:c r="O225" s="10" t="str">
        <x:v>Codex</x:v>
      </x:c>
      <x:c r="P225" s="10" t="str">
        <x:v>14 Oct 2026 — Matching backend regression passed in the rebuilt service; secure onboarding assertions now verify chosen/random credentials.</x:v>
      </x:c>
    </x:row>
    <x:row r="226" ht="80" customHeight="1">
      <x:c r="A226" s="3" t="str">
        <x:v>REGRESSION-096</x:v>
      </x:c>
      <x:c r="B226" s="3" t="str">
        <x:v>Passed</x:v>
      </x:c>
      <x:c r="C226" s="3" t="str">
        <x:v>users</x:v>
      </x:c>
      <x:c r="D226" s="3" t="str">
        <x:v>contest windows protect execution and reads[draft-upcoming]</x:v>
      </x:c>
      <x:c r="E226" s="3" t="str">
        <x:v>As defined in test fixture</x:v>
      </x:c>
      <x:c r="F226" s="3" t="str">
        <x:v>Backend regression (isolated DB; mocks where defined)</x:v>
      </x:c>
      <x:c r="G226" s="3" t="str">
        <x:v>Execute pytest test apps.users.tests.test_security_regressions::test_contest_windows_protect_execution_and_reads[draft-upcoming]</x:v>
      </x:c>
      <x:c r="H226" s="3" t="str">
        <x:v>Fixtures and assertions in apps/users/tests/test_security_regressions.py</x:v>
      </x:c>
      <x:c r="I226" s="3" t="str">
        <x:v>All assertions in this existing regression test succeed</x:v>
      </x:c>
      <x:c r="J226" s="3" t="str">
        <x:v>Passed in 0.833 seconds</x:v>
      </x:c>
      <x:c r="K226" s="3" t="str"/>
      <x:c r="L226" s="3" t="str">
        <x:v>apps/users/tests/test_security_regressions.py</x:v>
      </x:c>
      <x:c r="M226" s="3" t="str">
        <x:v>evidence/backend-regression.xml</x:v>
      </x:c>
      <x:c r="N226" s="10" t="str">
        <x:v>Passed</x:v>
      </x:c>
      <x:c r="O226" s="10" t="str">
        <x:v>Codex</x:v>
      </x:c>
      <x:c r="P226" s="10" t="str">
        <x:v>14 Oct 2026 — Matching backend regression passed in the rebuilt service; secure onboarding assertions now verify chosen/random credentials.</x:v>
      </x:c>
    </x:row>
    <x:row r="227" ht="80" customHeight="1">
      <x:c r="A227" s="3" t="str">
        <x:v>REGRESSION-097</x:v>
      </x:c>
      <x:c r="B227" s="3" t="str">
        <x:v>Passed</x:v>
      </x:c>
      <x:c r="C227" s="3" t="str">
        <x:v>users</x:v>
      </x:c>
      <x:c r="D227" s="3" t="str">
        <x:v>contest windows protect execution and reads[draft-completed]</x:v>
      </x:c>
      <x:c r="E227" s="3" t="str">
        <x:v>As defined in test fixture</x:v>
      </x:c>
      <x:c r="F227" s="3" t="str">
        <x:v>Backend regression (isolated DB; mocks where defined)</x:v>
      </x:c>
      <x:c r="G227" s="3" t="str">
        <x:v>Execute pytest test apps.users.tests.test_security_regressions::test_contest_windows_protect_execution_and_reads[draft-completed]</x:v>
      </x:c>
      <x:c r="H227" s="3" t="str">
        <x:v>Fixtures and assertions in apps/users/tests/test_security_regressions.py</x:v>
      </x:c>
      <x:c r="I227" s="3" t="str">
        <x:v>All assertions in this existing regression test succeed</x:v>
      </x:c>
      <x:c r="J227" s="3" t="str">
        <x:v>Passed in 1.129 seconds</x:v>
      </x:c>
      <x:c r="K227" s="3" t="str"/>
      <x:c r="L227" s="3" t="str">
        <x:v>apps/users/tests/test_security_regressions.py</x:v>
      </x:c>
      <x:c r="M227" s="3" t="str">
        <x:v>evidence/backend-regression.xml</x:v>
      </x:c>
      <x:c r="N227" s="10" t="str">
        <x:v>Passed</x:v>
      </x:c>
      <x:c r="O227" s="10" t="str">
        <x:v>Codex</x:v>
      </x:c>
      <x:c r="P227" s="10" t="str">
        <x:v>14 Oct 2026 — Matching backend regression passed in the rebuilt service; secure onboarding assertions now verify chosen/random credentials.</x:v>
      </x:c>
    </x:row>
    <x:row r="228" ht="80" customHeight="1">
      <x:c r="A228" s="3" t="str">
        <x:v>REGRESSION-098</x:v>
      </x:c>
      <x:c r="B228" s="3" t="str">
        <x:v>Passed</x:v>
      </x:c>
      <x:c r="C228" s="3" t="str">
        <x:v>users</x:v>
      </x:c>
      <x:c r="D228" s="3" t="str">
        <x:v>hidden stderr is masked in both responses</x:v>
      </x:c>
      <x:c r="E228" s="3" t="str">
        <x:v>As defined in test fixture</x:v>
      </x:c>
      <x:c r="F228" s="3" t="str">
        <x:v>Backend regression (isolated DB; mocks where defined)</x:v>
      </x:c>
      <x:c r="G228" s="3" t="str">
        <x:v>Execute pytest test apps.users.tests.test_security_regressions::test_hidden_stderr_is_masked_in_both_responses</x:v>
      </x:c>
      <x:c r="H228" s="3" t="str">
        <x:v>Fixtures and assertions in apps/users/tests/test_security_regressions.py</x:v>
      </x:c>
      <x:c r="I228" s="3" t="str">
        <x:v>All assertions in this existing regression test succeed</x:v>
      </x:c>
      <x:c r="J228" s="3" t="str">
        <x:v>Passed in 1.080 seconds</x:v>
      </x:c>
      <x:c r="K228" s="3" t="str"/>
      <x:c r="L228" s="3" t="str">
        <x:v>apps/users/tests/test_security_regressions.py</x:v>
      </x:c>
      <x:c r="M228" s="3" t="str">
        <x:v>evidence/backend-regression.xml</x:v>
      </x:c>
      <x:c r="N228" s="10" t="str">
        <x:v>Passed</x:v>
      </x:c>
      <x:c r="O228" s="10" t="str">
        <x:v>Codex</x:v>
      </x:c>
      <x:c r="P228" s="10" t="str">
        <x:v>14 Oct 2026 — Matching backend regression passed in the rebuilt service; secure onboarding assertions now verify chosen/random credentials.</x:v>
      </x:c>
    </x:row>
    <x:row r="229" ht="80" customHeight="1">
      <x:c r="A229" s="3" t="str">
        <x:v>REGRESSION-099</x:v>
      </x:c>
      <x:c r="B229" s="3" t="str">
        <x:v>Passed</x:v>
      </x:c>
      <x:c r="C229" s="3" t="str">
        <x:v>users</x:v>
      </x:c>
      <x:c r="D229" s="3" t="str">
        <x:v>judge exception does not disclose test data</x:v>
      </x:c>
      <x:c r="E229" s="3" t="str">
        <x:v>As defined in test fixture</x:v>
      </x:c>
      <x:c r="F229" s="3" t="str">
        <x:v>Backend regression (isolated DB; mocks where defined)</x:v>
      </x:c>
      <x:c r="G229" s="3" t="str">
        <x:v>Execute pytest test apps.users.tests.test_security_regressions::test_judge_exception_does_not_disclose_test_data</x:v>
      </x:c>
      <x:c r="H229" s="3" t="str">
        <x:v>Fixtures and assertions in apps/users/tests/test_security_regressions.py</x:v>
      </x:c>
      <x:c r="I229" s="3" t="str">
        <x:v>All assertions in this existing regression test succeed</x:v>
      </x:c>
      <x:c r="J229" s="3" t="str">
        <x:v>Passed in 0.901 seconds</x:v>
      </x:c>
      <x:c r="K229" s="3" t="str"/>
      <x:c r="L229" s="3" t="str">
        <x:v>apps/users/tests/test_security_regressions.py</x:v>
      </x:c>
      <x:c r="M229" s="3" t="str">
        <x:v>evidence/backend-regression.xml</x:v>
      </x:c>
      <x:c r="N229" s="10" t="str">
        <x:v>Passed</x:v>
      </x:c>
      <x:c r="O229" s="10" t="str">
        <x:v>Codex</x:v>
      </x:c>
      <x:c r="P229" s="10" t="str">
        <x:v>14 Oct 2026 — Matching backend regression passed in the rebuilt service; secure onboarding assertions now verify chosen/random credentials.</x:v>
      </x:c>
    </x:row>
    <x:row r="230" ht="80" customHeight="1">
      <x:c r="A230" s="3" t="str">
        <x:v>REGRESSION-100</x:v>
      </x:c>
      <x:c r="B230" s="3" t="str">
        <x:v>Passed</x:v>
      </x:c>
      <x:c r="C230" s="3" t="str">
        <x:v>users</x:v>
      </x:c>
      <x:c r="D230" s="3" t="str">
        <x:v>celery uses real judge result contract</x:v>
      </x:c>
      <x:c r="E230" s="3" t="str">
        <x:v>As defined in test fixture</x:v>
      </x:c>
      <x:c r="F230" s="3" t="str">
        <x:v>Backend regression (isolated DB; mocks where defined)</x:v>
      </x:c>
      <x:c r="G230" s="3" t="str">
        <x:v>Execute pytest test apps.users.tests.test_security_regressions::test_celery_uses_real_judge_result_contract</x:v>
      </x:c>
      <x:c r="H230" s="3" t="str">
        <x:v>Fixtures and assertions in apps/users/tests/test_security_regressions.py</x:v>
      </x:c>
      <x:c r="I230" s="3" t="str">
        <x:v>All assertions in this existing regression test succeed</x:v>
      </x:c>
      <x:c r="J230" s="3" t="str">
        <x:v>Passed in 1.315 seconds</x:v>
      </x:c>
      <x:c r="K230" s="3" t="str"/>
      <x:c r="L230" s="3" t="str">
        <x:v>apps/users/tests/test_security_regressions.py</x:v>
      </x:c>
      <x:c r="M230" s="3" t="str">
        <x:v>evidence/backend-regression.xml</x:v>
      </x:c>
      <x:c r="N230" s="10" t="str">
        <x:v>Passed</x:v>
      </x:c>
      <x:c r="O230" s="10" t="str">
        <x:v>Codex</x:v>
      </x:c>
      <x:c r="P230" s="10" t="str">
        <x:v>14 Oct 2026 — Matching backend regression passed in the rebuilt service; secure onboarding assertions now verify chosen/random credentials.</x:v>
      </x:c>
    </x:row>
    <x:row r="231" ht="80" customHeight="1">
      <x:c r="A231" s="3" t="str">
        <x:v>REGRESSION-101</x:v>
      </x:c>
      <x:c r="B231" s="3" t="str">
        <x:v>Passed</x:v>
      </x:c>
      <x:c r="C231" s="3" t="str">
        <x:v>users</x:v>
      </x:c>
      <x:c r="D231" s="3" t="str">
        <x:v>celery retry does not prematurely reject</x:v>
      </x:c>
      <x:c r="E231" s="3" t="str">
        <x:v>As defined in test fixture</x:v>
      </x:c>
      <x:c r="F231" s="3" t="str">
        <x:v>Backend regression (isolated DB; mocks where defined)</x:v>
      </x:c>
      <x:c r="G231" s="3" t="str">
        <x:v>Execute pytest test apps.users.tests.test_security_regressions::test_celery_retry_does_not_prematurely_reject</x:v>
      </x:c>
      <x:c r="H231" s="3" t="str">
        <x:v>Fixtures and assertions in apps/users/tests/test_security_regressions.py</x:v>
      </x:c>
      <x:c r="I231" s="3" t="str">
        <x:v>All assertions in this existing regression test succeed</x:v>
      </x:c>
      <x:c r="J231" s="3" t="str">
        <x:v>Passed in 1.978 seconds</x:v>
      </x:c>
      <x:c r="K231" s="3" t="str"/>
      <x:c r="L231" s="3" t="str">
        <x:v>apps/users/tests/test_security_regressions.py</x:v>
      </x:c>
      <x:c r="M231" s="3" t="str">
        <x:v>evidence/backend-regression.xml</x:v>
      </x:c>
      <x:c r="N231" s="10" t="str">
        <x:v>Passed</x:v>
      </x:c>
      <x:c r="O231" s="10" t="str">
        <x:v>Codex</x:v>
      </x:c>
      <x:c r="P231" s="10" t="str">
        <x:v>14 Oct 2026 — Matching backend regression passed in the rebuilt service; secure onboarding assertions now verify chosen/random credentials.</x:v>
      </x:c>
    </x:row>
    <x:row r="232" ht="80" customHeight="1">
      <x:c r="A232" s="3" t="str">
        <x:v>REGRESSION-102</x:v>
      </x:c>
      <x:c r="B232" s="3" t="str">
        <x:v>Passed</x:v>
      </x:c>
      <x:c r="C232" s="3" t="str">
        <x:v>users</x:v>
      </x:c>
      <x:c r="D232" s="3" t="str">
        <x:v>contest ranking ignores out of window and unassigned submissions</x:v>
      </x:c>
      <x:c r="E232" s="3" t="str">
        <x:v>As defined in test fixture</x:v>
      </x:c>
      <x:c r="F232" s="3" t="str">
        <x:v>Backend regression (isolated DB; mocks where defined)</x:v>
      </x:c>
      <x:c r="G232" s="3" t="str">
        <x:v>Execute pytest test apps.users.tests.test_security_regressions::test_contest_ranking_ignores_out_of_window_and_unassigned_submissions</x:v>
      </x:c>
      <x:c r="H232" s="3" t="str">
        <x:v>Fixtures and assertions in apps/users/tests/test_security_regressions.py</x:v>
      </x:c>
      <x:c r="I232" s="3" t="str">
        <x:v>All assertions in this existing regression test succeed</x:v>
      </x:c>
      <x:c r="J232" s="3" t="str">
        <x:v>Passed in 1.765 seconds</x:v>
      </x:c>
      <x:c r="K232" s="3" t="str"/>
      <x:c r="L232" s="3" t="str">
        <x:v>apps/users/tests/test_security_regressions.py</x:v>
      </x:c>
      <x:c r="M232" s="3" t="str">
        <x:v>evidence/backend-regression.xml</x:v>
      </x:c>
      <x:c r="N232" s="10" t="str">
        <x:v>Passed</x:v>
      </x:c>
      <x:c r="O232" s="10" t="str">
        <x:v>Codex</x:v>
      </x:c>
      <x:c r="P232" s="10" t="str">
        <x:v>14 Oct 2026 — Matching backend regression passed in the rebuilt service; secure onboarding assertions now verify chosen/random credentials.</x:v>
      </x:c>
    </x:row>
    <x:row r="233" ht="80" customHeight="1">
      <x:c r="A233" s="3" t="str">
        <x:v>REGRESSION-103</x:v>
      </x:c>
      <x:c r="B233" s="3" t="str">
        <x:v>Passed</x:v>
      </x:c>
      <x:c r="C233" s="3" t="str">
        <x:v>users</x:v>
      </x:c>
      <x:c r="D233" s="3" t="str">
        <x:v>session cleanup matches token lifetime</x:v>
      </x:c>
      <x:c r="E233" s="3" t="str">
        <x:v>As defined in test fixture</x:v>
      </x:c>
      <x:c r="F233" s="3" t="str">
        <x:v>Backend regression (isolated DB; mocks where defined)</x:v>
      </x:c>
      <x:c r="G233" s="3" t="str">
        <x:v>Execute pytest test apps.users.tests.test_security_regressions::test_session_cleanup_matches_token_lifetime</x:v>
      </x:c>
      <x:c r="H233" s="3" t="str">
        <x:v>Fixtures and assertions in apps/users/tests/test_security_regressions.py</x:v>
      </x:c>
      <x:c r="I233" s="3" t="str">
        <x:v>All assertions in this existing regression test succeed</x:v>
      </x:c>
      <x:c r="J233" s="3" t="str">
        <x:v>Passed in 2.631 seconds</x:v>
      </x:c>
      <x:c r="K233" s="3" t="str"/>
      <x:c r="L233" s="3" t="str">
        <x:v>apps/users/tests/test_security_regressions.py</x:v>
      </x:c>
      <x:c r="M233" s="3" t="str">
        <x:v>evidence/backend-regression.xml</x:v>
      </x:c>
      <x:c r="N233" s="10" t="str">
        <x:v>Passed</x:v>
      </x:c>
      <x:c r="O233" s="10" t="str">
        <x:v>Codex</x:v>
      </x:c>
      <x:c r="P233" s="10" t="str">
        <x:v>14 Oct 2026 — Matching backend regression passed in the rebuilt service; secure onboarding assertions now verify chosen/random credentials.</x:v>
      </x:c>
    </x:row>
    <x:row r="234" ht="67" customHeight="1">
      <x:c r="A234" s="3" t="str">
        <x:v>LAYOUT-001</x:v>
      </x:c>
      <x:c r="B234" s="3" t="str">
        <x:v>Passed</x:v>
      </x:c>
      <x:c r="C234" s="3" t="str">
        <x:v>Page layouts</x:v>
      </x:c>
      <x:c r="D234" s="3" t="str">
        <x:v>/browse at 320 px</x:v>
      </x:c>
      <x:c r="E234" s="3" t="str">
        <x:v>Route-specific fixture role</x:v>
      </x:c>
      <x:c r="F234" s="3" t="str">
        <x:v>Browser with controlled API fixtures</x:v>
      </x:c>
      <x:c r="G234" s="3" t="str">
        <x:v>Run verify-application.cjs; navigate /browse at 320 px</x:v>
      </x:c>
      <x:c r="H234" s="3" t="str">
        <x:v>Controlled route fixtures; Edge browser</x:v>
      </x:c>
      <x:c r="I234" s="3" t="str">
        <x:v>Page renders without checked layout overflow/errors; role navigation assertions pass</x:v>
      </x:c>
      <x:c r="J234" s="3" t="str">
        <x:v>Passed fixture-based route/layout assertions</x:v>
      </x:c>
      <x:c r="K234" s="3" t="str"/>
      <x:c r="L234" s="3" t="str">
        <x:v>client/scripts/verify-application.cjs</x:v>
      </x:c>
      <x:c r="M234" s="3" t="str">
        <x:v>evidence/route-layout.log; evidence/layout/</x:v>
      </x:c>
      <x:c r="N234" s="10" t="str">
        <x:v>Passed</x:v>
      </x:c>
      <x:c r="O234" s="10" t="str">
        <x:v>Codex</x:v>
      </x:c>
      <x:c r="P234" s="10" t="str">
        <x:v>14 Oct 2026 — Repeated route/layout check with an appropriate role at 320, 768 and 1440 px. Controlled API fixtures.</x:v>
      </x:c>
    </x:row>
    <x:row r="235" ht="67" customHeight="1">
      <x:c r="A235" s="3" t="str">
        <x:v>LAYOUT-002</x:v>
      </x:c>
      <x:c r="B235" s="3" t="str">
        <x:v>Passed</x:v>
      </x:c>
      <x:c r="C235" s="3" t="str">
        <x:v>Page layouts</x:v>
      </x:c>
      <x:c r="D235" s="3" t="str">
        <x:v>/make-contest at 320 px</x:v>
      </x:c>
      <x:c r="E235" s="3" t="str">
        <x:v>Route-specific fixture role</x:v>
      </x:c>
      <x:c r="F235" s="3" t="str">
        <x:v>Browser with controlled API fixtures</x:v>
      </x:c>
      <x:c r="G235" s="3" t="str">
        <x:v>Run verify-application.cjs; navigate /make-contest at 320 px</x:v>
      </x:c>
      <x:c r="H235" s="3" t="str">
        <x:v>Controlled route fixtures; Edge browser</x:v>
      </x:c>
      <x:c r="I235" s="3" t="str">
        <x:v>Page renders without checked layout overflow/errors; role navigation assertions pass</x:v>
      </x:c>
      <x:c r="J235" s="3" t="str">
        <x:v>Passed fixture-based route/layout assertions</x:v>
      </x:c>
      <x:c r="K235" s="3" t="str"/>
      <x:c r="L235" s="3" t="str">
        <x:v>client/scripts/verify-application.cjs</x:v>
      </x:c>
      <x:c r="M235" s="3" t="str">
        <x:v>evidence/route-layout.log; evidence/layout/</x:v>
      </x:c>
      <x:c r="N235" s="10" t="str">
        <x:v>Passed</x:v>
      </x:c>
      <x:c r="O235" s="10" t="str">
        <x:v>Codex</x:v>
      </x:c>
      <x:c r="P235" s="10" t="str">
        <x:v>14 Oct 2026 — Repeated route/layout check with an appropriate role at 320, 768 and 1440 px. Controlled API fixtures.</x:v>
      </x:c>
    </x:row>
    <x:row r="236" ht="67" customHeight="1">
      <x:c r="A236" s="3" t="str">
        <x:v>LAYOUT-003</x:v>
      </x:c>
      <x:c r="B236" s="3" t="str">
        <x:v>Passed</x:v>
      </x:c>
      <x:c r="C236" s="3" t="str">
        <x:v>Page layouts</x:v>
      </x:c>
      <x:c r="D236" s="3" t="str">
        <x:v>/assessments at 320 px</x:v>
      </x:c>
      <x:c r="E236" s="3" t="str">
        <x:v>Route-specific fixture role</x:v>
      </x:c>
      <x:c r="F236" s="3" t="str">
        <x:v>Browser with controlled API fixtures</x:v>
      </x:c>
      <x:c r="G236" s="3" t="str">
        <x:v>Run verify-application.cjs; navigate /assessments at 320 px</x:v>
      </x:c>
      <x:c r="H236" s="3" t="str">
        <x:v>Controlled route fixtures; Edge browser</x:v>
      </x:c>
      <x:c r="I236" s="3" t="str">
        <x:v>Page renders without checked layout overflow/errors; role navigation assertions pass</x:v>
      </x:c>
      <x:c r="J236" s="3" t="str">
        <x:v>Passed fixture-based route/layout assertions</x:v>
      </x:c>
      <x:c r="K236" s="3" t="str"/>
      <x:c r="L236" s="3" t="str">
        <x:v>client/scripts/verify-application.cjs</x:v>
      </x:c>
      <x:c r="M236" s="3" t="str">
        <x:v>evidence/route-layout.log; evidence/layout/</x:v>
      </x:c>
      <x:c r="N236" s="10" t="str">
        <x:v>Passed</x:v>
      </x:c>
      <x:c r="O236" s="10" t="str">
        <x:v>Codex</x:v>
      </x:c>
      <x:c r="P236" s="10" t="str">
        <x:v>14 Oct 2026 — Repeated route/layout check with an appropriate role at 320, 768 and 1440 px. Controlled API fixtures.</x:v>
      </x:c>
    </x:row>
    <x:row r="237" ht="67" customHeight="1">
      <x:c r="A237" s="3" t="str">
        <x:v>LAYOUT-004</x:v>
      </x:c>
      <x:c r="B237" s="3" t="str">
        <x:v>Passed</x:v>
      </x:c>
      <x:c r="C237" s="3" t="str">
        <x:v>Page layouts</x:v>
      </x:c>
      <x:c r="D237" s="3" t="str">
        <x:v>/create-contest at 320 px</x:v>
      </x:c>
      <x:c r="E237" s="3" t="str">
        <x:v>Route-specific fixture role</x:v>
      </x:c>
      <x:c r="F237" s="3" t="str">
        <x:v>Browser with controlled API fixtures</x:v>
      </x:c>
      <x:c r="G237" s="3" t="str">
        <x:v>Run verify-application.cjs; navigate /create-contest at 320 px</x:v>
      </x:c>
      <x:c r="H237" s="3" t="str">
        <x:v>Controlled route fixtures; Edge browser</x:v>
      </x:c>
      <x:c r="I237" s="3" t="str">
        <x:v>Page renders without checked layout overflow/errors; role navigation assertions pass</x:v>
      </x:c>
      <x:c r="J237" s="3" t="str">
        <x:v>Passed fixture-based route/layout assertions</x:v>
      </x:c>
      <x:c r="K237" s="3" t="str"/>
      <x:c r="L237" s="3" t="str">
        <x:v>client/scripts/verify-application.cjs</x:v>
      </x:c>
      <x:c r="M237" s="3" t="str">
        <x:v>evidence/route-layout.log; evidence/layout/</x:v>
      </x:c>
      <x:c r="N237" s="10" t="str">
        <x:v>Passed</x:v>
      </x:c>
      <x:c r="O237" s="10" t="str">
        <x:v>Codex</x:v>
      </x:c>
      <x:c r="P237" s="10" t="str">
        <x:v>14 Oct 2026 — Repeated route/layout check with an appropriate role at 320, 768 and 1440 px. Controlled API fixtures.</x:v>
      </x:c>
    </x:row>
    <x:row r="238" ht="67" customHeight="1">
      <x:c r="A238" s="3" t="str">
        <x:v>LAYOUT-005</x:v>
      </x:c>
      <x:c r="B238" s="3" t="str">
        <x:v>Passed</x:v>
      </x:c>
      <x:c r="C238" s="3" t="str">
        <x:v>Page layouts</x:v>
      </x:c>
      <x:c r="D238" s="3" t="str">
        <x:v>/create-contest/contest-1 at 320 px</x:v>
      </x:c>
      <x:c r="E238" s="3" t="str">
        <x:v>Route-specific fixture role</x:v>
      </x:c>
      <x:c r="F238" s="3" t="str">
        <x:v>Browser with controlled API fixtures</x:v>
      </x:c>
      <x:c r="G238" s="3" t="str">
        <x:v>Run verify-application.cjs; navigate /create-contest/contest-1 at 320 px</x:v>
      </x:c>
      <x:c r="H238" s="3" t="str">
        <x:v>Controlled route fixtures; Edge browser</x:v>
      </x:c>
      <x:c r="I238" s="3" t="str">
        <x:v>Page renders without checked layout overflow/errors; role navigation assertions pass</x:v>
      </x:c>
      <x:c r="J238" s="3" t="str">
        <x:v>Passed fixture-based route/layout assertions</x:v>
      </x:c>
      <x:c r="K238" s="3" t="str"/>
      <x:c r="L238" s="3" t="str">
        <x:v>client/scripts/verify-application.cjs</x:v>
      </x:c>
      <x:c r="M238" s="3" t="str">
        <x:v>evidence/route-layout.log; evidence/layout/</x:v>
      </x:c>
      <x:c r="N238" s="10" t="str">
        <x:v>Passed</x:v>
      </x:c>
      <x:c r="O238" s="10" t="str">
        <x:v>Codex</x:v>
      </x:c>
      <x:c r="P238" s="10" t="str">
        <x:v>14 Oct 2026 — Repeated route/layout check with an appropriate role at 320, 768 and 1440 px. Controlled API fixtures.</x:v>
      </x:c>
    </x:row>
    <x:row r="239" ht="67" customHeight="1">
      <x:c r="A239" s="3" t="str">
        <x:v>LAYOUT-006</x:v>
      </x:c>
      <x:c r="B239" s="3" t="str">
        <x:v>Passed</x:v>
      </x:c>
      <x:c r="C239" s="3" t="str">
        <x:v>Page layouts</x:v>
      </x:c>
      <x:c r="D239" s="3" t="str">
        <x:v>/support at 320 px</x:v>
      </x:c>
      <x:c r="E239" s="3" t="str">
        <x:v>Route-specific fixture role</x:v>
      </x:c>
      <x:c r="F239" s="3" t="str">
        <x:v>Browser with controlled API fixtures</x:v>
      </x:c>
      <x:c r="G239" s="3" t="str">
        <x:v>Run verify-application.cjs; navigate /support at 320 px</x:v>
      </x:c>
      <x:c r="H239" s="3" t="str">
        <x:v>Controlled route fixtures; Edge browser</x:v>
      </x:c>
      <x:c r="I239" s="3" t="str">
        <x:v>Page renders without checked layout overflow/errors; role navigation assertions pass</x:v>
      </x:c>
      <x:c r="J239" s="3" t="str">
        <x:v>Passed fixture-based route/layout assertions</x:v>
      </x:c>
      <x:c r="K239" s="3" t="str"/>
      <x:c r="L239" s="3" t="str">
        <x:v>client/scripts/verify-application.cjs</x:v>
      </x:c>
      <x:c r="M239" s="3" t="str">
        <x:v>evidence/route-layout.log; evidence/layout/</x:v>
      </x:c>
      <x:c r="N239" s="10" t="str">
        <x:v>Passed</x:v>
      </x:c>
      <x:c r="O239" s="10" t="str">
        <x:v>Codex</x:v>
      </x:c>
      <x:c r="P239" s="10" t="str">
        <x:v>14 Oct 2026 — Repeated route/layout check with an appropriate role at 320, 768 and 1440 px. Controlled API fixtures.</x:v>
      </x:c>
    </x:row>
    <x:row r="240" ht="67" customHeight="1">
      <x:c r="A240" s="3" t="str">
        <x:v>LAYOUT-007</x:v>
      </x:c>
      <x:c r="B240" s="3" t="str">
        <x:v>Passed</x:v>
      </x:c>
      <x:c r="C240" s="3" t="str">
        <x:v>Page layouts</x:v>
      </x:c>
      <x:c r="D240" s="3" t="str">
        <x:v>/student at 320 px</x:v>
      </x:c>
      <x:c r="E240" s="3" t="str">
        <x:v>Route-specific fixture role</x:v>
      </x:c>
      <x:c r="F240" s="3" t="str">
        <x:v>Browser with controlled API fixtures</x:v>
      </x:c>
      <x:c r="G240" s="3" t="str">
        <x:v>Run verify-application.cjs; navigate /student at 320 px</x:v>
      </x:c>
      <x:c r="H240" s="3" t="str">
        <x:v>Controlled route fixtures; Edge browser</x:v>
      </x:c>
      <x:c r="I240" s="3" t="str">
        <x:v>Page renders without checked layout overflow/errors; role navigation assertions pass</x:v>
      </x:c>
      <x:c r="J240" s="3" t="str">
        <x:v>Passed fixture-based route/layout assertions</x:v>
      </x:c>
      <x:c r="K240" s="3" t="str"/>
      <x:c r="L240" s="3" t="str">
        <x:v>client/scripts/verify-application.cjs</x:v>
      </x:c>
      <x:c r="M240" s="3" t="str">
        <x:v>evidence/route-layout.log; evidence/layout/</x:v>
      </x:c>
      <x:c r="N240" s="10" t="str">
        <x:v>Passed</x:v>
      </x:c>
      <x:c r="O240" s="10" t="str">
        <x:v>Codex</x:v>
      </x:c>
      <x:c r="P240" s="10" t="str">
        <x:v>14 Oct 2026 — Repeated route/layout check with an appropriate role at 320, 768 and 1440 px. Controlled API fixtures.</x:v>
      </x:c>
    </x:row>
    <x:row r="241" ht="67" customHeight="1">
      <x:c r="A241" s="3" t="str">
        <x:v>LAYOUT-008</x:v>
      </x:c>
      <x:c r="B241" s="3" t="str">
        <x:v>Passed</x:v>
      </x:c>
      <x:c r="C241" s="3" t="str">
        <x:v>Page layouts</x:v>
      </x:c>
      <x:c r="D241" s="3" t="str">
        <x:v>/make-problem at 320 px</x:v>
      </x:c>
      <x:c r="E241" s="3" t="str">
        <x:v>Route-specific fixture role</x:v>
      </x:c>
      <x:c r="F241" s="3" t="str">
        <x:v>Browser with controlled API fixtures</x:v>
      </x:c>
      <x:c r="G241" s="3" t="str">
        <x:v>Run verify-application.cjs; navigate /make-problem at 320 px</x:v>
      </x:c>
      <x:c r="H241" s="3" t="str">
        <x:v>Controlled route fixtures; Edge browser</x:v>
      </x:c>
      <x:c r="I241" s="3" t="str">
        <x:v>Page renders without checked layout overflow/errors; role navigation assertions pass</x:v>
      </x:c>
      <x:c r="J241" s="3" t="str">
        <x:v>Passed fixture-based route/layout assertions</x:v>
      </x:c>
      <x:c r="K241" s="3" t="str"/>
      <x:c r="L241" s="3" t="str">
        <x:v>client/scripts/verify-application.cjs</x:v>
      </x:c>
      <x:c r="M241" s="3" t="str">
        <x:v>evidence/route-layout.log; evidence/layout/</x:v>
      </x:c>
      <x:c r="N241" s="10" t="str">
        <x:v>Passed</x:v>
      </x:c>
      <x:c r="O241" s="10" t="str">
        <x:v>Codex</x:v>
      </x:c>
      <x:c r="P241" s="10" t="str">
        <x:v>14 Oct 2026 — Repeated route/layout check with an appropriate role at 320, 768 and 1440 px. Controlled API fixtures.</x:v>
      </x:c>
    </x:row>
    <x:row r="242" ht="67" customHeight="1">
      <x:c r="A242" s="3" t="str">
        <x:v>LAYOUT-009</x:v>
      </x:c>
      <x:c r="B242" s="3" t="str">
        <x:v>Passed</x:v>
      </x:c>
      <x:c r="C242" s="3" t="str">
        <x:v>Page layouts</x:v>
      </x:c>
      <x:c r="D242" s="3" t="str">
        <x:v>/problems at 320 px</x:v>
      </x:c>
      <x:c r="E242" s="3" t="str">
        <x:v>Route-specific fixture role</x:v>
      </x:c>
      <x:c r="F242" s="3" t="str">
        <x:v>Browser with controlled API fixtures</x:v>
      </x:c>
      <x:c r="G242" s="3" t="str">
        <x:v>Run verify-application.cjs; navigate /problems at 320 px</x:v>
      </x:c>
      <x:c r="H242" s="3" t="str">
        <x:v>Controlled route fixtures; Edge browser</x:v>
      </x:c>
      <x:c r="I242" s="3" t="str">
        <x:v>Page renders without checked layout overflow/errors; role navigation assertions pass</x:v>
      </x:c>
      <x:c r="J242" s="3" t="str">
        <x:v>Passed fixture-based route/layout assertions</x:v>
      </x:c>
      <x:c r="K242" s="3" t="str"/>
      <x:c r="L242" s="3" t="str">
        <x:v>client/scripts/verify-application.cjs</x:v>
      </x:c>
      <x:c r="M242" s="3" t="str">
        <x:v>evidence/route-layout.log; evidence/layout/</x:v>
      </x:c>
      <x:c r="N242" s="10" t="str">
        <x:v>Passed</x:v>
      </x:c>
      <x:c r="O242" s="10" t="str">
        <x:v>Codex</x:v>
      </x:c>
      <x:c r="P242" s="10" t="str">
        <x:v>14 Oct 2026 — Repeated route/layout check with an appropriate role at 320, 768 and 1440 px. Controlled API fixtures.</x:v>
      </x:c>
    </x:row>
    <x:row r="243" ht="67" customHeight="1">
      <x:c r="A243" s="3" t="str">
        <x:v>LAYOUT-010</x:v>
      </x:c>
      <x:c r="B243" s="3" t="str">
        <x:v>Passed</x:v>
      </x:c>
      <x:c r="C243" s="3" t="str">
        <x:v>Page layouts</x:v>
      </x:c>
      <x:c r="D243" s="3" t="str">
        <x:v>/pending-requests at 320 px</x:v>
      </x:c>
      <x:c r="E243" s="3" t="str">
        <x:v>Route-specific fixture role</x:v>
      </x:c>
      <x:c r="F243" s="3" t="str">
        <x:v>Browser with controlled API fixtures</x:v>
      </x:c>
      <x:c r="G243" s="3" t="str">
        <x:v>Run verify-application.cjs; navigate /pending-requests at 320 px</x:v>
      </x:c>
      <x:c r="H243" s="3" t="str">
        <x:v>Controlled route fixtures; Edge browser</x:v>
      </x:c>
      <x:c r="I243" s="3" t="str">
        <x:v>Page renders without checked layout overflow/errors; role navigation assertions pass</x:v>
      </x:c>
      <x:c r="J243" s="3" t="str">
        <x:v>Passed fixture-based route/layout assertions</x:v>
      </x:c>
      <x:c r="K243" s="3" t="str"/>
      <x:c r="L243" s="3" t="str">
        <x:v>client/scripts/verify-application.cjs</x:v>
      </x:c>
      <x:c r="M243" s="3" t="str">
        <x:v>evidence/route-layout.log; evidence/layout/</x:v>
      </x:c>
      <x:c r="N243" s="10" t="str">
        <x:v>Passed</x:v>
      </x:c>
      <x:c r="O243" s="10" t="str">
        <x:v>Codex</x:v>
      </x:c>
      <x:c r="P243" s="10" t="str">
        <x:v>14 Oct 2026 — Repeated route/layout check with an appropriate role at 320, 768 and 1440 px. Controlled API fixtures.</x:v>
      </x:c>
    </x:row>
    <x:row r="244" ht="67" customHeight="1">
      <x:c r="A244" s="3" t="str">
        <x:v>LAYOUT-011</x:v>
      </x:c>
      <x:c r="B244" s="3" t="str">
        <x:v>Passed</x:v>
      </x:c>
      <x:c r="C244" s="3" t="str">
        <x:v>Page layouts</x:v>
      </x:c>
      <x:c r="D244" s="3" t="str">
        <x:v>/faculty-section at 320 px</x:v>
      </x:c>
      <x:c r="E244" s="3" t="str">
        <x:v>Route-specific fixture role</x:v>
      </x:c>
      <x:c r="F244" s="3" t="str">
        <x:v>Browser with controlled API fixtures</x:v>
      </x:c>
      <x:c r="G244" s="3" t="str">
        <x:v>Run verify-application.cjs; navigate /faculty-section at 320 px</x:v>
      </x:c>
      <x:c r="H244" s="3" t="str">
        <x:v>Controlled route fixtures; Edge browser</x:v>
      </x:c>
      <x:c r="I244" s="3" t="str">
        <x:v>Page renders without checked layout overflow/errors; role navigation assertions pass</x:v>
      </x:c>
      <x:c r="J244" s="3" t="str">
        <x:v>Passed fixture-based route/layout assertions</x:v>
      </x:c>
      <x:c r="K244" s="3" t="str"/>
      <x:c r="L244" s="3" t="str">
        <x:v>client/scripts/verify-application.cjs</x:v>
      </x:c>
      <x:c r="M244" s="3" t="str">
        <x:v>evidence/route-layout.log; evidence/layout/</x:v>
      </x:c>
      <x:c r="N244" s="10" t="str">
        <x:v>Passed</x:v>
      </x:c>
      <x:c r="O244" s="10" t="str">
        <x:v>Codex</x:v>
      </x:c>
      <x:c r="P244" s="10" t="str">
        <x:v>14 Oct 2026 — Repeated route/layout check with an appropriate role at 320, 768 and 1440 px. Controlled API fixtures.</x:v>
      </x:c>
    </x:row>
    <x:row r="245" ht="67" customHeight="1">
      <x:c r="A245" s="3" t="str">
        <x:v>LAYOUT-012</x:v>
      </x:c>
      <x:c r="B245" s="3" t="str">
        <x:v>Passed</x:v>
      </x:c>
      <x:c r="C245" s="3" t="str">
        <x:v>Page layouts</x:v>
      </x:c>
      <x:c r="D245" s="3" t="str">
        <x:v>/problem-form at 320 px</x:v>
      </x:c>
      <x:c r="E245" s="3" t="str">
        <x:v>Route-specific fixture role</x:v>
      </x:c>
      <x:c r="F245" s="3" t="str">
        <x:v>Browser with controlled API fixtures</x:v>
      </x:c>
      <x:c r="G245" s="3" t="str">
        <x:v>Run verify-application.cjs; navigate /problem-form at 320 px</x:v>
      </x:c>
      <x:c r="H245" s="3" t="str">
        <x:v>Controlled route fixtures; Edge browser</x:v>
      </x:c>
      <x:c r="I245" s="3" t="str">
        <x:v>Page renders without checked layout overflow/errors; role navigation assertions pass</x:v>
      </x:c>
      <x:c r="J245" s="3" t="str">
        <x:v>Passed fixture-based route/layout assertions</x:v>
      </x:c>
      <x:c r="K245" s="3" t="str"/>
      <x:c r="L245" s="3" t="str">
        <x:v>client/scripts/verify-application.cjs</x:v>
      </x:c>
      <x:c r="M245" s="3" t="str">
        <x:v>evidence/route-layout.log; evidence/layout/</x:v>
      </x:c>
      <x:c r="N245" s="10" t="str">
        <x:v>Passed</x:v>
      </x:c>
      <x:c r="O245" s="10" t="str">
        <x:v>Codex</x:v>
      </x:c>
      <x:c r="P245" s="10" t="str">
        <x:v>14 Oct 2026 — Repeated route/layout check with an appropriate role at 320, 768 and 1440 px. Controlled API fixtures.</x:v>
      </x:c>
    </x:row>
    <x:row r="246" ht="67" customHeight="1">
      <x:c r="A246" s="3" t="str">
        <x:v>LAYOUT-013</x:v>
      </x:c>
      <x:c r="B246" s="3" t="str">
        <x:v>Passed</x:v>
      </x:c>
      <x:c r="C246" s="3" t="str">
        <x:v>Page layouts</x:v>
      </x:c>
      <x:c r="D246" s="3" t="str">
        <x:v>/problem-form/problem-1 at 320 px</x:v>
      </x:c>
      <x:c r="E246" s="3" t="str">
        <x:v>Route-specific fixture role</x:v>
      </x:c>
      <x:c r="F246" s="3" t="str">
        <x:v>Browser with controlled API fixtures</x:v>
      </x:c>
      <x:c r="G246" s="3" t="str">
        <x:v>Run verify-application.cjs; navigate /problem-form/problem-1 at 320 px</x:v>
      </x:c>
      <x:c r="H246" s="3" t="str">
        <x:v>Controlled route fixtures; Edge browser</x:v>
      </x:c>
      <x:c r="I246" s="3" t="str">
        <x:v>Page renders without checked layout overflow/errors; role navigation assertions pass</x:v>
      </x:c>
      <x:c r="J246" s="3" t="str">
        <x:v>Passed fixture-based route/layout assertions</x:v>
      </x:c>
      <x:c r="K246" s="3" t="str"/>
      <x:c r="L246" s="3" t="str">
        <x:v>client/scripts/verify-application.cjs</x:v>
      </x:c>
      <x:c r="M246" s="3" t="str">
        <x:v>evidence/route-layout.log; evidence/layout/</x:v>
      </x:c>
      <x:c r="N246" s="10" t="str">
        <x:v>Passed</x:v>
      </x:c>
      <x:c r="O246" s="10" t="str">
        <x:v>Codex</x:v>
      </x:c>
      <x:c r="P246" s="10" t="str">
        <x:v>14 Oct 2026 — Repeated route/layout check with an appropriate role at 320, 768 and 1440 px. Controlled API fixtures.</x:v>
      </x:c>
    </x:row>
    <x:row r="247" ht="67" customHeight="1">
      <x:c r="A247" s="3" t="str">
        <x:v>LAYOUT-014</x:v>
      </x:c>
      <x:c r="B247" s="3" t="str">
        <x:v>Passed</x:v>
      </x:c>
      <x:c r="C247" s="3" t="str">
        <x:v>Page layouts</x:v>
      </x:c>
      <x:c r="D247" s="3" t="str">
        <x:v>/problems/problem-1 at 320 px</x:v>
      </x:c>
      <x:c r="E247" s="3" t="str">
        <x:v>Route-specific fixture role</x:v>
      </x:c>
      <x:c r="F247" s="3" t="str">
        <x:v>Browser with controlled API fixtures</x:v>
      </x:c>
      <x:c r="G247" s="3" t="str">
        <x:v>Run verify-application.cjs; navigate /problems/problem-1 at 320 px</x:v>
      </x:c>
      <x:c r="H247" s="3" t="str">
        <x:v>Controlled route fixtures; Edge browser</x:v>
      </x:c>
      <x:c r="I247" s="3" t="str">
        <x:v>Page renders without checked layout overflow/errors; role navigation assertions pass</x:v>
      </x:c>
      <x:c r="J247" s="3" t="str">
        <x:v>Passed fixture-based route/layout assertions</x:v>
      </x:c>
      <x:c r="K247" s="3" t="str"/>
      <x:c r="L247" s="3" t="str">
        <x:v>client/scripts/verify-application.cjs</x:v>
      </x:c>
      <x:c r="M247" s="3" t="str">
        <x:v>evidence/route-layout.log; evidence/layout/</x:v>
      </x:c>
      <x:c r="N247" s="10" t="str">
        <x:v>Passed</x:v>
      </x:c>
      <x:c r="O247" s="10" t="str">
        <x:v>Codex</x:v>
      </x:c>
      <x:c r="P247" s="10" t="str">
        <x:v>14 Oct 2026 — Repeated route/layout check with an appropriate role at 320, 768 and 1440 px. Controlled API fixtures.</x:v>
      </x:c>
    </x:row>
    <x:row r="248" ht="67" customHeight="1">
      <x:c r="A248" s="3" t="str">
        <x:v>LAYOUT-015</x:v>
      </x:c>
      <x:c r="B248" s="3" t="str">
        <x:v>Passed</x:v>
      </x:c>
      <x:c r="C248" s="3" t="str">
        <x:v>Page layouts</x:v>
      </x:c>
      <x:c r="D248" s="3" t="str">
        <x:v>/profile at 320 px</x:v>
      </x:c>
      <x:c r="E248" s="3" t="str">
        <x:v>Route-specific fixture role</x:v>
      </x:c>
      <x:c r="F248" s="3" t="str">
        <x:v>Browser with controlled API fixtures</x:v>
      </x:c>
      <x:c r="G248" s="3" t="str">
        <x:v>Run verify-application.cjs; navigate /profile at 320 px</x:v>
      </x:c>
      <x:c r="H248" s="3" t="str">
        <x:v>Controlled route fixtures; Edge browser</x:v>
      </x:c>
      <x:c r="I248" s="3" t="str">
        <x:v>Page renders without checked layout overflow/errors; role navigation assertions pass</x:v>
      </x:c>
      <x:c r="J248" s="3" t="str">
        <x:v>Passed fixture-based route/layout assertions</x:v>
      </x:c>
      <x:c r="K248" s="3" t="str"/>
      <x:c r="L248" s="3" t="str">
        <x:v>client/scripts/verify-application.cjs</x:v>
      </x:c>
      <x:c r="M248" s="3" t="str">
        <x:v>evidence/route-layout.log; evidence/layout/</x:v>
      </x:c>
      <x:c r="N248" s="10" t="str">
        <x:v>Passed</x:v>
      </x:c>
      <x:c r="O248" s="10" t="str">
        <x:v>Codex</x:v>
      </x:c>
      <x:c r="P248" s="10" t="str">
        <x:v>14 Oct 2026 — Repeated route/layout check with an appropriate role at 320, 768 and 1440 px. Controlled API fixtures.</x:v>
      </x:c>
    </x:row>
    <x:row r="249" ht="67" customHeight="1">
      <x:c r="A249" s="3" t="str">
        <x:v>LAYOUT-016</x:v>
      </x:c>
      <x:c r="B249" s="3" t="str">
        <x:v>Passed</x:v>
      </x:c>
      <x:c r="C249" s="3" t="str">
        <x:v>Page layouts</x:v>
      </x:c>
      <x:c r="D249" s="3" t="str">
        <x:v>/dashboard/problem-1 at 320 px</x:v>
      </x:c>
      <x:c r="E249" s="3" t="str">
        <x:v>Route-specific fixture role</x:v>
      </x:c>
      <x:c r="F249" s="3" t="str">
        <x:v>Browser with controlled API fixtures</x:v>
      </x:c>
      <x:c r="G249" s="3" t="str">
        <x:v>Run verify-application.cjs; navigate /dashboard/problem-1 at 320 px</x:v>
      </x:c>
      <x:c r="H249" s="3" t="str">
        <x:v>Controlled route fixtures; Edge browser</x:v>
      </x:c>
      <x:c r="I249" s="3" t="str">
        <x:v>Page renders without checked layout overflow/errors; role navigation assertions pass</x:v>
      </x:c>
      <x:c r="J249" s="3" t="str">
        <x:v>Passed fixture-based route/layout assertions</x:v>
      </x:c>
      <x:c r="K249" s="3" t="str"/>
      <x:c r="L249" s="3" t="str">
        <x:v>client/scripts/verify-application.cjs</x:v>
      </x:c>
      <x:c r="M249" s="3" t="str">
        <x:v>evidence/route-layout.log; evidence/layout/</x:v>
      </x:c>
      <x:c r="N249" s="10" t="str">
        <x:v>Passed</x:v>
      </x:c>
      <x:c r="O249" s="10" t="str">
        <x:v>Codex</x:v>
      </x:c>
      <x:c r="P249" s="10" t="str">
        <x:v>14 Oct 2026 — Repeated route/layout check with an appropriate role at 320, 768 and 1440 px. Controlled API fixtures.</x:v>
      </x:c>
    </x:row>
    <x:row r="250" ht="67" customHeight="1">
      <x:c r="A250" s="3" t="str">
        <x:v>LAYOUT-017</x:v>
      </x:c>
      <x:c r="B250" s="3" t="str">
        <x:v>Passed</x:v>
      </x:c>
      <x:c r="C250" s="3" t="str">
        <x:v>Page layouts</x:v>
      </x:c>
      <x:c r="D250" s="3" t="str">
        <x:v>/history at 320 px</x:v>
      </x:c>
      <x:c r="E250" s="3" t="str">
        <x:v>Route-specific fixture role</x:v>
      </x:c>
      <x:c r="F250" s="3" t="str">
        <x:v>Browser with controlled API fixtures</x:v>
      </x:c>
      <x:c r="G250" s="3" t="str">
        <x:v>Run verify-application.cjs; navigate /history at 320 px</x:v>
      </x:c>
      <x:c r="H250" s="3" t="str">
        <x:v>Controlled route fixtures; Edge browser</x:v>
      </x:c>
      <x:c r="I250" s="3" t="str">
        <x:v>Page renders without checked layout overflow/errors; role navigation assertions pass</x:v>
      </x:c>
      <x:c r="J250" s="3" t="str">
        <x:v>Passed fixture-based route/layout assertions</x:v>
      </x:c>
      <x:c r="K250" s="3" t="str"/>
      <x:c r="L250" s="3" t="str">
        <x:v>client/scripts/verify-application.cjs</x:v>
      </x:c>
      <x:c r="M250" s="3" t="str">
        <x:v>evidence/route-layout.log; evidence/layout/</x:v>
      </x:c>
      <x:c r="N250" s="10" t="str">
        <x:v>Passed</x:v>
      </x:c>
      <x:c r="O250" s="10" t="str">
        <x:v>Codex</x:v>
      </x:c>
      <x:c r="P250" s="10" t="str">
        <x:v>14 Oct 2026 — Repeated route/layout check with an appropriate role at 320, 768 and 1440 px. Controlled API fixtures.</x:v>
      </x:c>
    </x:row>
    <x:row r="251" ht="67" customHeight="1">
      <x:c r="A251" s="3" t="str">
        <x:v>LAYOUT-018</x:v>
      </x:c>
      <x:c r="B251" s="3" t="str">
        <x:v>Passed</x:v>
      </x:c>
      <x:c r="C251" s="3" t="str">
        <x:v>Page layouts</x:v>
      </x:c>
      <x:c r="D251" s="3" t="str">
        <x:v>/add-student-using-file at 320 px</x:v>
      </x:c>
      <x:c r="E251" s="3" t="str">
        <x:v>Route-specific fixture role</x:v>
      </x:c>
      <x:c r="F251" s="3" t="str">
        <x:v>Browser with controlled API fixtures</x:v>
      </x:c>
      <x:c r="G251" s="3" t="str">
        <x:v>Run verify-application.cjs; navigate /add-student-using-file at 320 px</x:v>
      </x:c>
      <x:c r="H251" s="3" t="str">
        <x:v>Controlled route fixtures; Edge browser</x:v>
      </x:c>
      <x:c r="I251" s="3" t="str">
        <x:v>Page renders without checked layout overflow/errors; role navigation assertions pass</x:v>
      </x:c>
      <x:c r="J251" s="3" t="str">
        <x:v>Passed fixture-based route/layout assertions</x:v>
      </x:c>
      <x:c r="K251" s="3" t="str"/>
      <x:c r="L251" s="3" t="str">
        <x:v>client/scripts/verify-application.cjs</x:v>
      </x:c>
      <x:c r="M251" s="3" t="str">
        <x:v>evidence/route-layout.log; evidence/layout/</x:v>
      </x:c>
      <x:c r="N251" s="10" t="str">
        <x:v>Passed</x:v>
      </x:c>
      <x:c r="O251" s="10" t="str">
        <x:v>Codex</x:v>
      </x:c>
      <x:c r="P251" s="10" t="str">
        <x:v>14 Oct 2026 — Repeated route/layout check with an appropriate role at 320, 768 and 1440 px. Controlled API fixtures.</x:v>
      </x:c>
    </x:row>
    <x:row r="252" ht="67" customHeight="1">
      <x:c r="A252" s="3" t="str">
        <x:v>LAYOUT-019</x:v>
      </x:c>
      <x:c r="B252" s="3" t="str">
        <x:v>Passed</x:v>
      </x:c>
      <x:c r="C252" s="3" t="str">
        <x:v>Page layouts</x:v>
      </x:c>
      <x:c r="D252" s="3" t="str">
        <x:v>/registerStudent at 320 px</x:v>
      </x:c>
      <x:c r="E252" s="3" t="str">
        <x:v>Route-specific fixture role</x:v>
      </x:c>
      <x:c r="F252" s="3" t="str">
        <x:v>Browser with controlled API fixtures</x:v>
      </x:c>
      <x:c r="G252" s="3" t="str">
        <x:v>Run verify-application.cjs; navigate /registerStudent at 320 px</x:v>
      </x:c>
      <x:c r="H252" s="3" t="str">
        <x:v>Controlled route fixtures; Edge browser</x:v>
      </x:c>
      <x:c r="I252" s="3" t="str">
        <x:v>Page renders without checked layout overflow/errors; role navigation assertions pass</x:v>
      </x:c>
      <x:c r="J252" s="3" t="str">
        <x:v>Passed fixture-based route/layout assertions</x:v>
      </x:c>
      <x:c r="K252" s="3" t="str"/>
      <x:c r="L252" s="3" t="str">
        <x:v>client/scripts/verify-application.cjs</x:v>
      </x:c>
      <x:c r="M252" s="3" t="str">
        <x:v>evidence/route-layout.log; evidence/layout/</x:v>
      </x:c>
      <x:c r="N252" s="10" t="str">
        <x:v>Passed</x:v>
      </x:c>
      <x:c r="O252" s="10" t="str">
        <x:v>Codex</x:v>
      </x:c>
      <x:c r="P252" s="10" t="str">
        <x:v>14 Oct 2026 — Repeated route/layout check with an appropriate role at 320, 768 and 1440 px. Controlled API fixtures.</x:v>
      </x:c>
    </x:row>
    <x:row r="253" ht="67" customHeight="1">
      <x:c r="A253" s="3" t="str">
        <x:v>LAYOUT-020</x:v>
      </x:c>
      <x:c r="B253" s="3" t="str">
        <x:v>Passed</x:v>
      </x:c>
      <x:c r="C253" s="3" t="str">
        <x:v>Page layouts</x:v>
      </x:c>
      <x:c r="D253" s="3" t="str">
        <x:v>/registerFaculty at 320 px</x:v>
      </x:c>
      <x:c r="E253" s="3" t="str">
        <x:v>Route-specific fixture role</x:v>
      </x:c>
      <x:c r="F253" s="3" t="str">
        <x:v>Browser with controlled API fixtures</x:v>
      </x:c>
      <x:c r="G253" s="3" t="str">
        <x:v>Run verify-application.cjs; navigate /registerFaculty at 320 px</x:v>
      </x:c>
      <x:c r="H253" s="3" t="str">
        <x:v>Controlled route fixtures; Edge browser</x:v>
      </x:c>
      <x:c r="I253" s="3" t="str">
        <x:v>Page renders without checked layout overflow/errors; role navigation assertions pass</x:v>
      </x:c>
      <x:c r="J253" s="3" t="str">
        <x:v>Passed fixture-based route/layout assertions</x:v>
      </x:c>
      <x:c r="K253" s="3" t="str"/>
      <x:c r="L253" s="3" t="str">
        <x:v>client/scripts/verify-application.cjs</x:v>
      </x:c>
      <x:c r="M253" s="3" t="str">
        <x:v>evidence/route-layout.log; evidence/layout/</x:v>
      </x:c>
      <x:c r="N253" s="10" t="str">
        <x:v>Passed</x:v>
      </x:c>
      <x:c r="O253" s="10" t="str">
        <x:v>Codex</x:v>
      </x:c>
      <x:c r="P253" s="10" t="str">
        <x:v>14 Oct 2026 — Repeated route/layout check with an appropriate role at 320, 768 and 1440 px. Controlled API fixtures.</x:v>
      </x:c>
    </x:row>
    <x:row r="254" ht="67" customHeight="1">
      <x:c r="A254" s="3" t="str">
        <x:v>LAYOUT-021</x:v>
      </x:c>
      <x:c r="B254" s="3" t="str">
        <x:v>Passed</x:v>
      </x:c>
      <x:c r="C254" s="3" t="str">
        <x:v>Page layouts</x:v>
      </x:c>
      <x:c r="D254" s="3" t="str">
        <x:v>/students/teacher-1 at 320 px</x:v>
      </x:c>
      <x:c r="E254" s="3" t="str">
        <x:v>Route-specific fixture role</x:v>
      </x:c>
      <x:c r="F254" s="3" t="str">
        <x:v>Browser with controlled API fixtures</x:v>
      </x:c>
      <x:c r="G254" s="3" t="str">
        <x:v>Run verify-application.cjs; navigate /students/teacher-1 at 320 px</x:v>
      </x:c>
      <x:c r="H254" s="3" t="str">
        <x:v>Controlled route fixtures; Edge browser</x:v>
      </x:c>
      <x:c r="I254" s="3" t="str">
        <x:v>Page renders without checked layout overflow/errors; role navigation assertions pass</x:v>
      </x:c>
      <x:c r="J254" s="3" t="str">
        <x:v>Passed fixture-based route/layout assertions</x:v>
      </x:c>
      <x:c r="K254" s="3" t="str"/>
      <x:c r="L254" s="3" t="str">
        <x:v>client/scripts/verify-application.cjs</x:v>
      </x:c>
      <x:c r="M254" s="3" t="str">
        <x:v>evidence/route-layout.log; evidence/layout/</x:v>
      </x:c>
      <x:c r="N254" s="10" t="str">
        <x:v>Passed</x:v>
      </x:c>
      <x:c r="O254" s="10" t="str">
        <x:v>Codex</x:v>
      </x:c>
      <x:c r="P254" s="10" t="str">
        <x:v>14 Oct 2026 — Repeated route/layout check with an appropriate role at 320, 768 and 1440 px. Controlled API fixtures.</x:v>
      </x:c>
    </x:row>
    <x:row r="255" ht="67" customHeight="1">
      <x:c r="A255" s="3" t="str">
        <x:v>LAYOUT-022</x:v>
      </x:c>
      <x:c r="B255" s="3" t="str">
        <x:v>Passed</x:v>
      </x:c>
      <x:c r="C255" s="3" t="str">
        <x:v>Page layouts</x:v>
      </x:c>
      <x:c r="D255" s="3" t="str">
        <x:v>/assignProblem/problem-1 at 320 px</x:v>
      </x:c>
      <x:c r="E255" s="3" t="str">
        <x:v>Route-specific fixture role</x:v>
      </x:c>
      <x:c r="F255" s="3" t="str">
        <x:v>Browser with controlled API fixtures</x:v>
      </x:c>
      <x:c r="G255" s="3" t="str">
        <x:v>Run verify-application.cjs; navigate /assignProblem/problem-1 at 320 px</x:v>
      </x:c>
      <x:c r="H255" s="3" t="str">
        <x:v>Controlled route fixtures; Edge browser</x:v>
      </x:c>
      <x:c r="I255" s="3" t="str">
        <x:v>Page renders without checked layout overflow/errors; role navigation assertions pass</x:v>
      </x:c>
      <x:c r="J255" s="3" t="str">
        <x:v>Passed fixture-based route/layout assertions</x:v>
      </x:c>
      <x:c r="K255" s="3" t="str"/>
      <x:c r="L255" s="3" t="str">
        <x:v>client/scripts/verify-application.cjs</x:v>
      </x:c>
      <x:c r="M255" s="3" t="str">
        <x:v>evidence/route-layout.log; evidence/layout/</x:v>
      </x:c>
      <x:c r="N255" s="10" t="str">
        <x:v>Passed</x:v>
      </x:c>
      <x:c r="O255" s="10" t="str">
        <x:v>Codex</x:v>
      </x:c>
      <x:c r="P255" s="10" t="str">
        <x:v>14 Oct 2026 — Repeated route/layout check with an appropriate role at 320, 768 and 1440 px. Controlled API fixtures.</x:v>
      </x:c>
    </x:row>
    <x:row r="256" ht="67" customHeight="1">
      <x:c r="A256" s="3" t="str">
        <x:v>LAYOUT-023</x:v>
      </x:c>
      <x:c r="B256" s="3" t="str">
        <x:v>Passed</x:v>
      </x:c>
      <x:c r="C256" s="3" t="str">
        <x:v>Page layouts</x:v>
      </x:c>
      <x:c r="D256" s="3" t="str">
        <x:v>/assignedStudents/problem-1 at 320 px</x:v>
      </x:c>
      <x:c r="E256" s="3" t="str">
        <x:v>Route-specific fixture role</x:v>
      </x:c>
      <x:c r="F256" s="3" t="str">
        <x:v>Browser with controlled API fixtures</x:v>
      </x:c>
      <x:c r="G256" s="3" t="str">
        <x:v>Run verify-application.cjs; navigate /assignedStudents/problem-1 at 320 px</x:v>
      </x:c>
      <x:c r="H256" s="3" t="str">
        <x:v>Controlled route fixtures; Edge browser</x:v>
      </x:c>
      <x:c r="I256" s="3" t="str">
        <x:v>Page renders without checked layout overflow/errors; role navigation assertions pass</x:v>
      </x:c>
      <x:c r="J256" s="3" t="str">
        <x:v>Passed fixture-based route/layout assertions</x:v>
      </x:c>
      <x:c r="K256" s="3" t="str"/>
      <x:c r="L256" s="3" t="str">
        <x:v>client/scripts/verify-application.cjs</x:v>
      </x:c>
      <x:c r="M256" s="3" t="str">
        <x:v>evidence/route-layout.log; evidence/layout/</x:v>
      </x:c>
      <x:c r="N256" s="10" t="str">
        <x:v>Passed</x:v>
      </x:c>
      <x:c r="O256" s="10" t="str">
        <x:v>Codex</x:v>
      </x:c>
      <x:c r="P256" s="10" t="str">
        <x:v>14 Oct 2026 — Repeated route/layout check with an appropriate role at 320, 768 and 1440 px. Controlled API fixtures.</x:v>
      </x:c>
    </x:row>
    <x:row r="257" ht="67" customHeight="1">
      <x:c r="A257" s="3" t="str">
        <x:v>LAYOUT-024</x:v>
      </x:c>
      <x:c r="B257" s="3" t="str">
        <x:v>Passed</x:v>
      </x:c>
      <x:c r="C257" s="3" t="str">
        <x:v>Page layouts</x:v>
      </x:c>
      <x:c r="D257" s="3" t="str">
        <x:v>/studentinformation at 320 px</x:v>
      </x:c>
      <x:c r="E257" s="3" t="str">
        <x:v>Route-specific fixture role</x:v>
      </x:c>
      <x:c r="F257" s="3" t="str">
        <x:v>Browser with controlled API fixtures</x:v>
      </x:c>
      <x:c r="G257" s="3" t="str">
        <x:v>Run verify-application.cjs; navigate /studentinformation at 320 px</x:v>
      </x:c>
      <x:c r="H257" s="3" t="str">
        <x:v>Controlled route fixtures; Edge browser</x:v>
      </x:c>
      <x:c r="I257" s="3" t="str">
        <x:v>Page renders without checked layout overflow/errors; role navigation assertions pass</x:v>
      </x:c>
      <x:c r="J257" s="3" t="str">
        <x:v>Passed fixture-based route/layout assertions</x:v>
      </x:c>
      <x:c r="K257" s="3" t="str"/>
      <x:c r="L257" s="3" t="str">
        <x:v>client/scripts/verify-application.cjs</x:v>
      </x:c>
      <x:c r="M257" s="3" t="str">
        <x:v>evidence/route-layout.log; evidence/layout/</x:v>
      </x:c>
      <x:c r="N257" s="10" t="str">
        <x:v>Passed</x:v>
      </x:c>
      <x:c r="O257" s="10" t="str">
        <x:v>Codex</x:v>
      </x:c>
      <x:c r="P257" s="10" t="str">
        <x:v>14 Oct 2026 — Repeated route/layout check with an appropriate role at 320, 768 and 1440 px. Controlled API fixtures.</x:v>
      </x:c>
    </x:row>
    <x:row r="258" ht="67" customHeight="1">
      <x:c r="A258" s="3" t="str">
        <x:v>LAYOUT-025</x:v>
      </x:c>
      <x:c r="B258" s="3" t="str">
        <x:v>Passed</x:v>
      </x:c>
      <x:c r="C258" s="3" t="str">
        <x:v>Page layouts</x:v>
      </x:c>
      <x:c r="D258" s="3" t="str">
        <x:v>/submissions/submission-1 at 320 px</x:v>
      </x:c>
      <x:c r="E258" s="3" t="str">
        <x:v>Route-specific fixture role</x:v>
      </x:c>
      <x:c r="F258" s="3" t="str">
        <x:v>Browser with controlled API fixtures</x:v>
      </x:c>
      <x:c r="G258" s="3" t="str">
        <x:v>Run verify-application.cjs; navigate /submissions/submission-1 at 320 px</x:v>
      </x:c>
      <x:c r="H258" s="3" t="str">
        <x:v>Controlled route fixtures; Edge browser</x:v>
      </x:c>
      <x:c r="I258" s="3" t="str">
        <x:v>Page renders without checked layout overflow/errors; role navigation assertions pass</x:v>
      </x:c>
      <x:c r="J258" s="3" t="str">
        <x:v>Passed fixture-based route/layout assertions</x:v>
      </x:c>
      <x:c r="K258" s="3" t="str"/>
      <x:c r="L258" s="3" t="str">
        <x:v>client/scripts/verify-application.cjs</x:v>
      </x:c>
      <x:c r="M258" s="3" t="str">
        <x:v>evidence/route-layout.log; evidence/layout/</x:v>
      </x:c>
      <x:c r="N258" s="10" t="str">
        <x:v>Passed</x:v>
      </x:c>
      <x:c r="O258" s="10" t="str">
        <x:v>Codex</x:v>
      </x:c>
      <x:c r="P258" s="10" t="str">
        <x:v>14 Oct 2026 — Repeated route/layout check with an appropriate role at 320, 768 and 1440 px. Controlled API fixtures.</x:v>
      </x:c>
    </x:row>
    <x:row r="259" ht="67" customHeight="1">
      <x:c r="A259" s="3" t="str">
        <x:v>LAYOUT-026</x:v>
      </x:c>
      <x:c r="B259" s="3" t="str">
        <x:v>Passed</x:v>
      </x:c>
      <x:c r="C259" s="3" t="str">
        <x:v>Page layouts</x:v>
      </x:c>
      <x:c r="D259" s="3" t="str">
        <x:v>/assignContestToStudents/contest-1 at 320 px</x:v>
      </x:c>
      <x:c r="E259" s="3" t="str">
        <x:v>Route-specific fixture role</x:v>
      </x:c>
      <x:c r="F259" s="3" t="str">
        <x:v>Browser with controlled API fixtures</x:v>
      </x:c>
      <x:c r="G259" s="3" t="str">
        <x:v>Run verify-application.cjs; navigate /assignContestToStudents/contest-1 at 320 px</x:v>
      </x:c>
      <x:c r="H259" s="3" t="str">
        <x:v>Controlled route fixtures; Edge browser</x:v>
      </x:c>
      <x:c r="I259" s="3" t="str">
        <x:v>Page renders without checked layout overflow/errors; role navigation assertions pass</x:v>
      </x:c>
      <x:c r="J259" s="3" t="str">
        <x:v>Passed fixture-based route/layout assertions</x:v>
      </x:c>
      <x:c r="K259" s="3" t="str"/>
      <x:c r="L259" s="3" t="str">
        <x:v>client/scripts/verify-application.cjs</x:v>
      </x:c>
      <x:c r="M259" s="3" t="str">
        <x:v>evidence/route-layout.log; evidence/layout/</x:v>
      </x:c>
      <x:c r="N259" s="10" t="str">
        <x:v>Passed</x:v>
      </x:c>
      <x:c r="O259" s="10" t="str">
        <x:v>Codex</x:v>
      </x:c>
      <x:c r="P259" s="10" t="str">
        <x:v>14 Oct 2026 — Repeated route/layout check with an appropriate role at 320, 768 and 1440 px. Controlled API fixtures.</x:v>
      </x:c>
    </x:row>
    <x:row r="260" ht="67" customHeight="1">
      <x:c r="A260" s="3" t="str">
        <x:v>LAYOUT-027</x:v>
      </x:c>
      <x:c r="B260" s="3" t="str">
        <x:v>Passed</x:v>
      </x:c>
      <x:c r="C260" s="3" t="str">
        <x:v>Page layouts</x:v>
      </x:c>
      <x:c r="D260" s="3" t="str">
        <x:v>/unassignContestToStudents/contest-1 at 320 px</x:v>
      </x:c>
      <x:c r="E260" s="3" t="str">
        <x:v>Route-specific fixture role</x:v>
      </x:c>
      <x:c r="F260" s="3" t="str">
        <x:v>Browser with controlled API fixtures</x:v>
      </x:c>
      <x:c r="G260" s="3" t="str">
        <x:v>Run verify-application.cjs; navigate /unassignContestToStudents/contest-1 at 320 px</x:v>
      </x:c>
      <x:c r="H260" s="3" t="str">
        <x:v>Controlled route fixtures; Edge browser</x:v>
      </x:c>
      <x:c r="I260" s="3" t="str">
        <x:v>Page renders without checked layout overflow/errors; role navigation assertions pass</x:v>
      </x:c>
      <x:c r="J260" s="3" t="str">
        <x:v>Passed fixture-based route/layout assertions</x:v>
      </x:c>
      <x:c r="K260" s="3" t="str"/>
      <x:c r="L260" s="3" t="str">
        <x:v>client/scripts/verify-application.cjs</x:v>
      </x:c>
      <x:c r="M260" s="3" t="str">
        <x:v>evidence/route-layout.log; evidence/layout/</x:v>
      </x:c>
      <x:c r="N260" s="10" t="str">
        <x:v>Passed</x:v>
      </x:c>
      <x:c r="O260" s="10" t="str">
        <x:v>Codex</x:v>
      </x:c>
      <x:c r="P260" s="10" t="str">
        <x:v>14 Oct 2026 — Repeated route/layout check with an appropriate role at 320, 768 and 1440 px. Controlled API fixtures.</x:v>
      </x:c>
    </x:row>
    <x:row r="261" ht="67" customHeight="1">
      <x:c r="A261" s="3" t="str">
        <x:v>LAYOUT-028</x:v>
      </x:c>
      <x:c r="B261" s="3" t="str">
        <x:v>Passed</x:v>
      </x:c>
      <x:c r="C261" s="3" t="str">
        <x:v>Page layouts</x:v>
      </x:c>
      <x:c r="D261" s="3" t="str">
        <x:v>/duplicate at 320 px</x:v>
      </x:c>
      <x:c r="E261" s="3" t="str">
        <x:v>Route-specific fixture role</x:v>
      </x:c>
      <x:c r="F261" s="3" t="str">
        <x:v>Browser with controlled API fixtures</x:v>
      </x:c>
      <x:c r="G261" s="3" t="str">
        <x:v>Run verify-application.cjs; navigate /duplicate at 320 px</x:v>
      </x:c>
      <x:c r="H261" s="3" t="str">
        <x:v>Controlled route fixtures; Edge browser</x:v>
      </x:c>
      <x:c r="I261" s="3" t="str">
        <x:v>Page renders without checked layout overflow/errors; role navigation assertions pass</x:v>
      </x:c>
      <x:c r="J261" s="3" t="str">
        <x:v>Passed fixture-based route/layout assertions</x:v>
      </x:c>
      <x:c r="K261" s="3" t="str"/>
      <x:c r="L261" s="3" t="str">
        <x:v>client/scripts/verify-application.cjs</x:v>
      </x:c>
      <x:c r="M261" s="3" t="str">
        <x:v>evidence/route-layout.log; evidence/layout/</x:v>
      </x:c>
      <x:c r="N261" s="10" t="str">
        <x:v>Passed</x:v>
      </x:c>
      <x:c r="O261" s="10" t="str">
        <x:v>Codex</x:v>
      </x:c>
      <x:c r="P261" s="10" t="str">
        <x:v>14 Oct 2026 — Repeated route/layout check with an appropriate role at 320, 768 and 1440 px. Controlled API fixtures.</x:v>
      </x:c>
    </x:row>
    <x:row r="262" ht="67" customHeight="1">
      <x:c r="A262" s="3" t="str">
        <x:v>LAYOUT-029</x:v>
      </x:c>
      <x:c r="B262" s="3" t="str">
        <x:v>Passed</x:v>
      </x:c>
      <x:c r="C262" s="3" t="str">
        <x:v>Page layouts</x:v>
      </x:c>
      <x:c r="D262" s="3" t="str">
        <x:v>/contests/contest-1 at 320 px</x:v>
      </x:c>
      <x:c r="E262" s="3" t="str">
        <x:v>Route-specific fixture role</x:v>
      </x:c>
      <x:c r="F262" s="3" t="str">
        <x:v>Browser with controlled API fixtures</x:v>
      </x:c>
      <x:c r="G262" s="3" t="str">
        <x:v>Run verify-application.cjs; navigate /contests/contest-1 at 320 px</x:v>
      </x:c>
      <x:c r="H262" s="3" t="str">
        <x:v>Controlled route fixtures; Edge browser</x:v>
      </x:c>
      <x:c r="I262" s="3" t="str">
        <x:v>Page renders without checked layout overflow/errors; role navigation assertions pass</x:v>
      </x:c>
      <x:c r="J262" s="3" t="str">
        <x:v>Passed fixture-based route/layout assertions</x:v>
      </x:c>
      <x:c r="K262" s="3" t="str"/>
      <x:c r="L262" s="3" t="str">
        <x:v>client/scripts/verify-application.cjs</x:v>
      </x:c>
      <x:c r="M262" s="3" t="str">
        <x:v>evidence/route-layout.log; evidence/layout/</x:v>
      </x:c>
      <x:c r="N262" s="10" t="str">
        <x:v>Passed</x:v>
      </x:c>
      <x:c r="O262" s="10" t="str">
        <x:v>Codex</x:v>
      </x:c>
      <x:c r="P262" s="10" t="str">
        <x:v>14 Oct 2026 — Repeated route/layout check with an appropriate role at 320, 768 and 1440 px. Controlled API fixtures.</x:v>
      </x:c>
    </x:row>
    <x:row r="263" ht="67" customHeight="1">
      <x:c r="A263" s="3" t="str">
        <x:v>LAYOUT-030</x:v>
      </x:c>
      <x:c r="B263" s="3" t="str">
        <x:v>Passed</x:v>
      </x:c>
      <x:c r="C263" s="3" t="str">
        <x:v>Page layouts</x:v>
      </x:c>
      <x:c r="D263" s="3" t="str">
        <x:v>/contests/contest-1/dashboard at 320 px</x:v>
      </x:c>
      <x:c r="E263" s="3" t="str">
        <x:v>Route-specific fixture role</x:v>
      </x:c>
      <x:c r="F263" s="3" t="str">
        <x:v>Browser with controlled API fixtures</x:v>
      </x:c>
      <x:c r="G263" s="3" t="str">
        <x:v>Run verify-application.cjs; navigate /contests/contest-1/dashboard at 320 px</x:v>
      </x:c>
      <x:c r="H263" s="3" t="str">
        <x:v>Controlled route fixtures; Edge browser</x:v>
      </x:c>
      <x:c r="I263" s="3" t="str">
        <x:v>Page renders without checked layout overflow/errors; role navigation assertions pass</x:v>
      </x:c>
      <x:c r="J263" s="3" t="str">
        <x:v>Passed fixture-based route/layout assertions</x:v>
      </x:c>
      <x:c r="K263" s="3" t="str"/>
      <x:c r="L263" s="3" t="str">
        <x:v>client/scripts/verify-application.cjs</x:v>
      </x:c>
      <x:c r="M263" s="3" t="str">
        <x:v>evidence/route-layout.log; evidence/layout/</x:v>
      </x:c>
      <x:c r="N263" s="10" t="str">
        <x:v>Passed</x:v>
      </x:c>
      <x:c r="O263" s="10" t="str">
        <x:v>Codex</x:v>
      </x:c>
      <x:c r="P263" s="10" t="str">
        <x:v>14 Oct 2026 — Repeated route/layout check with an appropriate role at 320, 768 and 1440 px. Controlled API fixtures.</x:v>
      </x:c>
    </x:row>
    <x:row r="264" ht="67" customHeight="1">
      <x:c r="A264" s="3" t="str">
        <x:v>LAYOUT-031</x:v>
      </x:c>
      <x:c r="B264" s="3" t="str">
        <x:v>Passed</x:v>
      </x:c>
      <x:c r="C264" s="3" t="str">
        <x:v>Page layouts</x:v>
      </x:c>
      <x:c r="D264" s="3" t="str">
        <x:v>/session-management at 320 px</x:v>
      </x:c>
      <x:c r="E264" s="3" t="str">
        <x:v>Route-specific fixture role</x:v>
      </x:c>
      <x:c r="F264" s="3" t="str">
        <x:v>Browser with controlled API fixtures</x:v>
      </x:c>
      <x:c r="G264" s="3" t="str">
        <x:v>Run verify-application.cjs; navigate /session-management at 320 px</x:v>
      </x:c>
      <x:c r="H264" s="3" t="str">
        <x:v>Controlled route fixtures; Edge browser</x:v>
      </x:c>
      <x:c r="I264" s="3" t="str">
        <x:v>Page renders without checked layout overflow/errors; role navigation assertions pass</x:v>
      </x:c>
      <x:c r="J264" s="3" t="str">
        <x:v>Passed fixture-based route/layout assertions</x:v>
      </x:c>
      <x:c r="K264" s="3" t="str"/>
      <x:c r="L264" s="3" t="str">
        <x:v>client/scripts/verify-application.cjs</x:v>
      </x:c>
      <x:c r="M264" s="3" t="str">
        <x:v>evidence/route-layout.log; evidence/layout/</x:v>
      </x:c>
      <x:c r="N264" s="10" t="str">
        <x:v>Passed</x:v>
      </x:c>
      <x:c r="O264" s="10" t="str">
        <x:v>Codex</x:v>
      </x:c>
      <x:c r="P264" s="10" t="str">
        <x:v>14 Oct 2026 — Repeated route/layout check with an appropriate role at 320, 768 and 1440 px. Controlled API fixtures.</x:v>
      </x:c>
    </x:row>
    <x:row r="265" ht="67" customHeight="1">
      <x:c r="A265" s="3" t="str">
        <x:v>LAYOUT-032</x:v>
      </x:c>
      <x:c r="B265" s="3" t="str">
        <x:v>Passed</x:v>
      </x:c>
      <x:c r="C265" s="3" t="str">
        <x:v>Page layouts</x:v>
      </x:c>
      <x:c r="D265" s="3" t="str">
        <x:v>/missing-page at 320 px</x:v>
      </x:c>
      <x:c r="E265" s="3" t="str">
        <x:v>Route-specific fixture role</x:v>
      </x:c>
      <x:c r="F265" s="3" t="str">
        <x:v>Browser with controlled API fixtures</x:v>
      </x:c>
      <x:c r="G265" s="3" t="str">
        <x:v>Run verify-application.cjs; navigate /missing-page at 320 px</x:v>
      </x:c>
      <x:c r="H265" s="3" t="str">
        <x:v>Controlled route fixtures; Edge browser</x:v>
      </x:c>
      <x:c r="I265" s="3" t="str">
        <x:v>Page renders without checked layout overflow/errors; role navigation assertions pass</x:v>
      </x:c>
      <x:c r="J265" s="3" t="str">
        <x:v>Passed fixture-based route/layout assertions</x:v>
      </x:c>
      <x:c r="K265" s="3" t="str"/>
      <x:c r="L265" s="3" t="str">
        <x:v>client/scripts/verify-application.cjs</x:v>
      </x:c>
      <x:c r="M265" s="3" t="str">
        <x:v>evidence/route-layout.log; evidence/layout/</x:v>
      </x:c>
      <x:c r="N265" s="10" t="str">
        <x:v>Passed</x:v>
      </x:c>
      <x:c r="O265" s="10" t="str">
        <x:v>Codex</x:v>
      </x:c>
      <x:c r="P265" s="10" t="str">
        <x:v>14 Oct 2026 — Repeated route/layout check with an appropriate role at 320, 768 and 1440 px. Controlled API fixtures.</x:v>
      </x:c>
    </x:row>
    <x:row r="266" ht="67" customHeight="1">
      <x:c r="A266" s="3" t="str">
        <x:v>LAYOUT-033</x:v>
      </x:c>
      <x:c r="B266" s="3" t="str">
        <x:v>Passed</x:v>
      </x:c>
      <x:c r="C266" s="3" t="str">
        <x:v>Page layouts</x:v>
      </x:c>
      <x:c r="D266" s="3" t="str">
        <x:v>/browse at 768 px</x:v>
      </x:c>
      <x:c r="E266" s="3" t="str">
        <x:v>Route-specific fixture role</x:v>
      </x:c>
      <x:c r="F266" s="3" t="str">
        <x:v>Browser with controlled API fixtures</x:v>
      </x:c>
      <x:c r="G266" s="3" t="str">
        <x:v>Run verify-application.cjs; navigate /browse at 768 px</x:v>
      </x:c>
      <x:c r="H266" s="3" t="str">
        <x:v>Controlled route fixtures; Edge browser</x:v>
      </x:c>
      <x:c r="I266" s="3" t="str">
        <x:v>Page renders without checked layout overflow/errors; role navigation assertions pass</x:v>
      </x:c>
      <x:c r="J266" s="3" t="str">
        <x:v>Passed fixture-based route/layout assertions</x:v>
      </x:c>
      <x:c r="K266" s="3" t="str"/>
      <x:c r="L266" s="3" t="str">
        <x:v>client/scripts/verify-application.cjs</x:v>
      </x:c>
      <x:c r="M266" s="3" t="str">
        <x:v>evidence/route-layout.log; evidence/layout/</x:v>
      </x:c>
      <x:c r="N266" s="10" t="str">
        <x:v>Passed</x:v>
      </x:c>
      <x:c r="O266" s="10" t="str">
        <x:v>Codex</x:v>
      </x:c>
      <x:c r="P266" s="10" t="str">
        <x:v>14 Oct 2026 — Repeated route/layout check with an appropriate role at 320, 768 and 1440 px. Controlled API fixtures.</x:v>
      </x:c>
    </x:row>
    <x:row r="267" ht="67" customHeight="1">
      <x:c r="A267" s="3" t="str">
        <x:v>LAYOUT-034</x:v>
      </x:c>
      <x:c r="B267" s="3" t="str">
        <x:v>Passed</x:v>
      </x:c>
      <x:c r="C267" s="3" t="str">
        <x:v>Page layouts</x:v>
      </x:c>
      <x:c r="D267" s="3" t="str">
        <x:v>/make-contest at 768 px</x:v>
      </x:c>
      <x:c r="E267" s="3" t="str">
        <x:v>Route-specific fixture role</x:v>
      </x:c>
      <x:c r="F267" s="3" t="str">
        <x:v>Browser with controlled API fixtures</x:v>
      </x:c>
      <x:c r="G267" s="3" t="str">
        <x:v>Run verify-application.cjs; navigate /make-contest at 768 px</x:v>
      </x:c>
      <x:c r="H267" s="3" t="str">
        <x:v>Controlled route fixtures; Edge browser</x:v>
      </x:c>
      <x:c r="I267" s="3" t="str">
        <x:v>Page renders without checked layout overflow/errors; role navigation assertions pass</x:v>
      </x:c>
      <x:c r="J267" s="3" t="str">
        <x:v>Passed fixture-based route/layout assertions</x:v>
      </x:c>
      <x:c r="K267" s="3" t="str"/>
      <x:c r="L267" s="3" t="str">
        <x:v>client/scripts/verify-application.cjs</x:v>
      </x:c>
      <x:c r="M267" s="3" t="str">
        <x:v>evidence/route-layout.log; evidence/layout/</x:v>
      </x:c>
      <x:c r="N267" s="10" t="str">
        <x:v>Passed</x:v>
      </x:c>
      <x:c r="O267" s="10" t="str">
        <x:v>Codex</x:v>
      </x:c>
      <x:c r="P267" s="10" t="str">
        <x:v>14 Oct 2026 — Repeated route/layout check with an appropriate role at 320, 768 and 1440 px. Controlled API fixtures.</x:v>
      </x:c>
    </x:row>
    <x:row r="268" ht="67" customHeight="1">
      <x:c r="A268" s="3" t="str">
        <x:v>LAYOUT-035</x:v>
      </x:c>
      <x:c r="B268" s="3" t="str">
        <x:v>Passed</x:v>
      </x:c>
      <x:c r="C268" s="3" t="str">
        <x:v>Page layouts</x:v>
      </x:c>
      <x:c r="D268" s="3" t="str">
        <x:v>/assessments at 768 px</x:v>
      </x:c>
      <x:c r="E268" s="3" t="str">
        <x:v>Route-specific fixture role</x:v>
      </x:c>
      <x:c r="F268" s="3" t="str">
        <x:v>Browser with controlled API fixtures</x:v>
      </x:c>
      <x:c r="G268" s="3" t="str">
        <x:v>Run verify-application.cjs; navigate /assessments at 768 px</x:v>
      </x:c>
      <x:c r="H268" s="3" t="str">
        <x:v>Controlled route fixtures; Edge browser</x:v>
      </x:c>
      <x:c r="I268" s="3" t="str">
        <x:v>Page renders without checked layout overflow/errors; role navigation assertions pass</x:v>
      </x:c>
      <x:c r="J268" s="3" t="str">
        <x:v>Passed fixture-based route/layout assertions</x:v>
      </x:c>
      <x:c r="K268" s="3" t="str"/>
      <x:c r="L268" s="3" t="str">
        <x:v>client/scripts/verify-application.cjs</x:v>
      </x:c>
      <x:c r="M268" s="3" t="str">
        <x:v>evidence/route-layout.log; evidence/layout/</x:v>
      </x:c>
      <x:c r="N268" s="10" t="str">
        <x:v>Passed</x:v>
      </x:c>
      <x:c r="O268" s="10" t="str">
        <x:v>Codex</x:v>
      </x:c>
      <x:c r="P268" s="10" t="str">
        <x:v>14 Oct 2026 — Repeated route/layout check with an appropriate role at 320, 768 and 1440 px. Controlled API fixtures.</x:v>
      </x:c>
    </x:row>
    <x:row r="269" ht="67" customHeight="1">
      <x:c r="A269" s="3" t="str">
        <x:v>LAYOUT-036</x:v>
      </x:c>
      <x:c r="B269" s="3" t="str">
        <x:v>Passed</x:v>
      </x:c>
      <x:c r="C269" s="3" t="str">
        <x:v>Page layouts</x:v>
      </x:c>
      <x:c r="D269" s="3" t="str">
        <x:v>/create-contest at 768 px</x:v>
      </x:c>
      <x:c r="E269" s="3" t="str">
        <x:v>Route-specific fixture role</x:v>
      </x:c>
      <x:c r="F269" s="3" t="str">
        <x:v>Browser with controlled API fixtures</x:v>
      </x:c>
      <x:c r="G269" s="3" t="str">
        <x:v>Run verify-application.cjs; navigate /create-contest at 768 px</x:v>
      </x:c>
      <x:c r="H269" s="3" t="str">
        <x:v>Controlled route fixtures; Edge browser</x:v>
      </x:c>
      <x:c r="I269" s="3" t="str">
        <x:v>Page renders without checked layout overflow/errors; role navigation assertions pass</x:v>
      </x:c>
      <x:c r="J269" s="3" t="str">
        <x:v>Passed fixture-based route/layout assertions</x:v>
      </x:c>
      <x:c r="K269" s="3" t="str"/>
      <x:c r="L269" s="3" t="str">
        <x:v>client/scripts/verify-application.cjs</x:v>
      </x:c>
      <x:c r="M269" s="3" t="str">
        <x:v>evidence/route-layout.log; evidence/layout/</x:v>
      </x:c>
      <x:c r="N269" s="10" t="str">
        <x:v>Passed</x:v>
      </x:c>
      <x:c r="O269" s="10" t="str">
        <x:v>Codex</x:v>
      </x:c>
      <x:c r="P269" s="10" t="str">
        <x:v>14 Oct 2026 — Repeated route/layout check with an appropriate role at 320, 768 and 1440 px. Controlled API fixtures.</x:v>
      </x:c>
    </x:row>
    <x:row r="270" ht="67" customHeight="1">
      <x:c r="A270" s="3" t="str">
        <x:v>LAYOUT-037</x:v>
      </x:c>
      <x:c r="B270" s="3" t="str">
        <x:v>Passed</x:v>
      </x:c>
      <x:c r="C270" s="3" t="str">
        <x:v>Page layouts</x:v>
      </x:c>
      <x:c r="D270" s="3" t="str">
        <x:v>/create-contest/contest-1 at 768 px</x:v>
      </x:c>
      <x:c r="E270" s="3" t="str">
        <x:v>Route-specific fixture role</x:v>
      </x:c>
      <x:c r="F270" s="3" t="str">
        <x:v>Browser with controlled API fixtures</x:v>
      </x:c>
      <x:c r="G270" s="3" t="str">
        <x:v>Run verify-application.cjs; navigate /create-contest/contest-1 at 768 px</x:v>
      </x:c>
      <x:c r="H270" s="3" t="str">
        <x:v>Controlled route fixtures; Edge browser</x:v>
      </x:c>
      <x:c r="I270" s="3" t="str">
        <x:v>Page renders without checked layout overflow/errors; role navigation assertions pass</x:v>
      </x:c>
      <x:c r="J270" s="3" t="str">
        <x:v>Passed fixture-based route/layout assertions</x:v>
      </x:c>
      <x:c r="K270" s="3" t="str"/>
      <x:c r="L270" s="3" t="str">
        <x:v>client/scripts/verify-application.cjs</x:v>
      </x:c>
      <x:c r="M270" s="3" t="str">
        <x:v>evidence/route-layout.log; evidence/layout/</x:v>
      </x:c>
      <x:c r="N270" s="10" t="str">
        <x:v>Passed</x:v>
      </x:c>
      <x:c r="O270" s="10" t="str">
        <x:v>Codex</x:v>
      </x:c>
      <x:c r="P270" s="10" t="str">
        <x:v>14 Oct 2026 — Repeated route/layout check with an appropriate role at 320, 768 and 1440 px. Controlled API fixtures.</x:v>
      </x:c>
    </x:row>
    <x:row r="271" ht="67" customHeight="1">
      <x:c r="A271" s="3" t="str">
        <x:v>LAYOUT-038</x:v>
      </x:c>
      <x:c r="B271" s="3" t="str">
        <x:v>Passed</x:v>
      </x:c>
      <x:c r="C271" s="3" t="str">
        <x:v>Page layouts</x:v>
      </x:c>
      <x:c r="D271" s="3" t="str">
        <x:v>/support at 768 px</x:v>
      </x:c>
      <x:c r="E271" s="3" t="str">
        <x:v>Route-specific fixture role</x:v>
      </x:c>
      <x:c r="F271" s="3" t="str">
        <x:v>Browser with controlled API fixtures</x:v>
      </x:c>
      <x:c r="G271" s="3" t="str">
        <x:v>Run verify-application.cjs; navigate /support at 768 px</x:v>
      </x:c>
      <x:c r="H271" s="3" t="str">
        <x:v>Controlled route fixtures; Edge browser</x:v>
      </x:c>
      <x:c r="I271" s="3" t="str">
        <x:v>Page renders without checked layout overflow/errors; role navigation assertions pass</x:v>
      </x:c>
      <x:c r="J271" s="3" t="str">
        <x:v>Passed fixture-based route/layout assertions</x:v>
      </x:c>
      <x:c r="K271" s="3" t="str"/>
      <x:c r="L271" s="3" t="str">
        <x:v>client/scripts/verify-application.cjs</x:v>
      </x:c>
      <x:c r="M271" s="3" t="str">
        <x:v>evidence/route-layout.log; evidence/layout/</x:v>
      </x:c>
      <x:c r="N271" s="10" t="str">
        <x:v>Passed</x:v>
      </x:c>
      <x:c r="O271" s="10" t="str">
        <x:v>Codex</x:v>
      </x:c>
      <x:c r="P271" s="10" t="str">
        <x:v>14 Oct 2026 — Repeated route/layout check with an appropriate role at 320, 768 and 1440 px. Controlled API fixtures.</x:v>
      </x:c>
    </x:row>
    <x:row r="272" ht="67" customHeight="1">
      <x:c r="A272" s="3" t="str">
        <x:v>LAYOUT-039</x:v>
      </x:c>
      <x:c r="B272" s="3" t="str">
        <x:v>Passed</x:v>
      </x:c>
      <x:c r="C272" s="3" t="str">
        <x:v>Page layouts</x:v>
      </x:c>
      <x:c r="D272" s="3" t="str">
        <x:v>/student at 768 px</x:v>
      </x:c>
      <x:c r="E272" s="3" t="str">
        <x:v>Route-specific fixture role</x:v>
      </x:c>
      <x:c r="F272" s="3" t="str">
        <x:v>Browser with controlled API fixtures</x:v>
      </x:c>
      <x:c r="G272" s="3" t="str">
        <x:v>Run verify-application.cjs; navigate /student at 768 px</x:v>
      </x:c>
      <x:c r="H272" s="3" t="str">
        <x:v>Controlled route fixtures; Edge browser</x:v>
      </x:c>
      <x:c r="I272" s="3" t="str">
        <x:v>Page renders without checked layout overflow/errors; role navigation assertions pass</x:v>
      </x:c>
      <x:c r="J272" s="3" t="str">
        <x:v>Passed fixture-based route/layout assertions</x:v>
      </x:c>
      <x:c r="K272" s="3" t="str"/>
      <x:c r="L272" s="3" t="str">
        <x:v>client/scripts/verify-application.cjs</x:v>
      </x:c>
      <x:c r="M272" s="3" t="str">
        <x:v>evidence/route-layout.log; evidence/layout/</x:v>
      </x:c>
      <x:c r="N272" s="10" t="str">
        <x:v>Passed</x:v>
      </x:c>
      <x:c r="O272" s="10" t="str">
        <x:v>Codex</x:v>
      </x:c>
      <x:c r="P272" s="10" t="str">
        <x:v>14 Oct 2026 — Repeated route/layout check with an appropriate role at 320, 768 and 1440 px. Controlled API fixtures.</x:v>
      </x:c>
    </x:row>
    <x:row r="273" ht="67" customHeight="1">
      <x:c r="A273" s="3" t="str">
        <x:v>LAYOUT-040</x:v>
      </x:c>
      <x:c r="B273" s="3" t="str">
        <x:v>Passed</x:v>
      </x:c>
      <x:c r="C273" s="3" t="str">
        <x:v>Page layouts</x:v>
      </x:c>
      <x:c r="D273" s="3" t="str">
        <x:v>/make-problem at 768 px</x:v>
      </x:c>
      <x:c r="E273" s="3" t="str">
        <x:v>Route-specific fixture role</x:v>
      </x:c>
      <x:c r="F273" s="3" t="str">
        <x:v>Browser with controlled API fixtures</x:v>
      </x:c>
      <x:c r="G273" s="3" t="str">
        <x:v>Run verify-application.cjs; navigate /make-problem at 768 px</x:v>
      </x:c>
      <x:c r="H273" s="3" t="str">
        <x:v>Controlled route fixtures; Edge browser</x:v>
      </x:c>
      <x:c r="I273" s="3" t="str">
        <x:v>Page renders without checked layout overflow/errors; role navigation assertions pass</x:v>
      </x:c>
      <x:c r="J273" s="3" t="str">
        <x:v>Passed fixture-based route/layout assertions</x:v>
      </x:c>
      <x:c r="K273" s="3" t="str"/>
      <x:c r="L273" s="3" t="str">
        <x:v>client/scripts/verify-application.cjs</x:v>
      </x:c>
      <x:c r="M273" s="3" t="str">
        <x:v>evidence/route-layout.log; evidence/layout/</x:v>
      </x:c>
      <x:c r="N273" s="10" t="str">
        <x:v>Passed</x:v>
      </x:c>
      <x:c r="O273" s="10" t="str">
        <x:v>Codex</x:v>
      </x:c>
      <x:c r="P273" s="10" t="str">
        <x:v>14 Oct 2026 — Repeated route/layout check with an appropriate role at 320, 768 and 1440 px. Controlled API fixtures.</x:v>
      </x:c>
    </x:row>
    <x:row r="274" ht="67" customHeight="1">
      <x:c r="A274" s="3" t="str">
        <x:v>LAYOUT-041</x:v>
      </x:c>
      <x:c r="B274" s="3" t="str">
        <x:v>Passed</x:v>
      </x:c>
      <x:c r="C274" s="3" t="str">
        <x:v>Page layouts</x:v>
      </x:c>
      <x:c r="D274" s="3" t="str">
        <x:v>/problems at 768 px</x:v>
      </x:c>
      <x:c r="E274" s="3" t="str">
        <x:v>Route-specific fixture role</x:v>
      </x:c>
      <x:c r="F274" s="3" t="str">
        <x:v>Browser with controlled API fixtures</x:v>
      </x:c>
      <x:c r="G274" s="3" t="str">
        <x:v>Run verify-application.cjs; navigate /problems at 768 px</x:v>
      </x:c>
      <x:c r="H274" s="3" t="str">
        <x:v>Controlled route fixtures; Edge browser</x:v>
      </x:c>
      <x:c r="I274" s="3" t="str">
        <x:v>Page renders without checked layout overflow/errors; role navigation assertions pass</x:v>
      </x:c>
      <x:c r="J274" s="3" t="str">
        <x:v>Passed fixture-based route/layout assertions</x:v>
      </x:c>
      <x:c r="K274" s="3" t="str"/>
      <x:c r="L274" s="3" t="str">
        <x:v>client/scripts/verify-application.cjs</x:v>
      </x:c>
      <x:c r="M274" s="3" t="str">
        <x:v>evidence/route-layout.log; evidence/layout/</x:v>
      </x:c>
      <x:c r="N274" s="10" t="str">
        <x:v>Passed</x:v>
      </x:c>
      <x:c r="O274" s="10" t="str">
        <x:v>Codex</x:v>
      </x:c>
      <x:c r="P274" s="10" t="str">
        <x:v>14 Oct 2026 — Repeated route/layout check with an appropriate role at 320, 768 and 1440 px. Controlled API fixtures.</x:v>
      </x:c>
    </x:row>
    <x:row r="275" ht="67" customHeight="1">
      <x:c r="A275" s="3" t="str">
        <x:v>LAYOUT-042</x:v>
      </x:c>
      <x:c r="B275" s="3" t="str">
        <x:v>Passed</x:v>
      </x:c>
      <x:c r="C275" s="3" t="str">
        <x:v>Page layouts</x:v>
      </x:c>
      <x:c r="D275" s="3" t="str">
        <x:v>/pending-requests at 768 px</x:v>
      </x:c>
      <x:c r="E275" s="3" t="str">
        <x:v>Route-specific fixture role</x:v>
      </x:c>
      <x:c r="F275" s="3" t="str">
        <x:v>Browser with controlled API fixtures</x:v>
      </x:c>
      <x:c r="G275" s="3" t="str">
        <x:v>Run verify-application.cjs; navigate /pending-requests at 768 px</x:v>
      </x:c>
      <x:c r="H275" s="3" t="str">
        <x:v>Controlled route fixtures; Edge browser</x:v>
      </x:c>
      <x:c r="I275" s="3" t="str">
        <x:v>Page renders without checked layout overflow/errors; role navigation assertions pass</x:v>
      </x:c>
      <x:c r="J275" s="3" t="str">
        <x:v>Passed fixture-based route/layout assertions</x:v>
      </x:c>
      <x:c r="K275" s="3" t="str"/>
      <x:c r="L275" s="3" t="str">
        <x:v>client/scripts/verify-application.cjs</x:v>
      </x:c>
      <x:c r="M275" s="3" t="str">
        <x:v>evidence/route-layout.log; evidence/layout/</x:v>
      </x:c>
      <x:c r="N275" s="10" t="str">
        <x:v>Passed</x:v>
      </x:c>
      <x:c r="O275" s="10" t="str">
        <x:v>Codex</x:v>
      </x:c>
      <x:c r="P275" s="10" t="str">
        <x:v>14 Oct 2026 — Repeated route/layout check with an appropriate role at 320, 768 and 1440 px. Controlled API fixtures.</x:v>
      </x:c>
    </x:row>
    <x:row r="276" ht="67" customHeight="1">
      <x:c r="A276" s="3" t="str">
        <x:v>LAYOUT-043</x:v>
      </x:c>
      <x:c r="B276" s="3" t="str">
        <x:v>Passed</x:v>
      </x:c>
      <x:c r="C276" s="3" t="str">
        <x:v>Page layouts</x:v>
      </x:c>
      <x:c r="D276" s="3" t="str">
        <x:v>/faculty-section at 768 px</x:v>
      </x:c>
      <x:c r="E276" s="3" t="str">
        <x:v>Route-specific fixture role</x:v>
      </x:c>
      <x:c r="F276" s="3" t="str">
        <x:v>Browser with controlled API fixtures</x:v>
      </x:c>
      <x:c r="G276" s="3" t="str">
        <x:v>Run verify-application.cjs; navigate /faculty-section at 768 px</x:v>
      </x:c>
      <x:c r="H276" s="3" t="str">
        <x:v>Controlled route fixtures; Edge browser</x:v>
      </x:c>
      <x:c r="I276" s="3" t="str">
        <x:v>Page renders without checked layout overflow/errors; role navigation assertions pass</x:v>
      </x:c>
      <x:c r="J276" s="3" t="str">
        <x:v>Passed fixture-based route/layout assertions</x:v>
      </x:c>
      <x:c r="K276" s="3" t="str"/>
      <x:c r="L276" s="3" t="str">
        <x:v>client/scripts/verify-application.cjs</x:v>
      </x:c>
      <x:c r="M276" s="3" t="str">
        <x:v>evidence/route-layout.log; evidence/layout/</x:v>
      </x:c>
      <x:c r="N276" s="10" t="str">
        <x:v>Passed</x:v>
      </x:c>
      <x:c r="O276" s="10" t="str">
        <x:v>Codex</x:v>
      </x:c>
      <x:c r="P276" s="10" t="str">
        <x:v>14 Oct 2026 — Repeated route/layout check with an appropriate role at 320, 768 and 1440 px. Controlled API fixtures.</x:v>
      </x:c>
    </x:row>
    <x:row r="277" ht="67" customHeight="1">
      <x:c r="A277" s="3" t="str">
        <x:v>LAYOUT-044</x:v>
      </x:c>
      <x:c r="B277" s="3" t="str">
        <x:v>Passed</x:v>
      </x:c>
      <x:c r="C277" s="3" t="str">
        <x:v>Page layouts</x:v>
      </x:c>
      <x:c r="D277" s="3" t="str">
        <x:v>/problem-form at 768 px</x:v>
      </x:c>
      <x:c r="E277" s="3" t="str">
        <x:v>Route-specific fixture role</x:v>
      </x:c>
      <x:c r="F277" s="3" t="str">
        <x:v>Browser with controlled API fixtures</x:v>
      </x:c>
      <x:c r="G277" s="3" t="str">
        <x:v>Run verify-application.cjs; navigate /problem-form at 768 px</x:v>
      </x:c>
      <x:c r="H277" s="3" t="str">
        <x:v>Controlled route fixtures; Edge browser</x:v>
      </x:c>
      <x:c r="I277" s="3" t="str">
        <x:v>Page renders without checked layout overflow/errors; role navigation assertions pass</x:v>
      </x:c>
      <x:c r="J277" s="3" t="str">
        <x:v>Passed fixture-based route/layout assertions</x:v>
      </x:c>
      <x:c r="K277" s="3" t="str"/>
      <x:c r="L277" s="3" t="str">
        <x:v>client/scripts/verify-application.cjs</x:v>
      </x:c>
      <x:c r="M277" s="3" t="str">
        <x:v>evidence/route-layout.log; evidence/layout/</x:v>
      </x:c>
      <x:c r="N277" s="10" t="str">
        <x:v>Passed</x:v>
      </x:c>
      <x:c r="O277" s="10" t="str">
        <x:v>Codex</x:v>
      </x:c>
      <x:c r="P277" s="10" t="str">
        <x:v>14 Oct 2026 — Repeated route/layout check with an appropriate role at 320, 768 and 1440 px. Controlled API fixtures.</x:v>
      </x:c>
    </x:row>
    <x:row r="278" ht="67" customHeight="1">
      <x:c r="A278" s="3" t="str">
        <x:v>LAYOUT-045</x:v>
      </x:c>
      <x:c r="B278" s="3" t="str">
        <x:v>Passed</x:v>
      </x:c>
      <x:c r="C278" s="3" t="str">
        <x:v>Page layouts</x:v>
      </x:c>
      <x:c r="D278" s="3" t="str">
        <x:v>/problem-form/problem-1 at 768 px</x:v>
      </x:c>
      <x:c r="E278" s="3" t="str">
        <x:v>Route-specific fixture role</x:v>
      </x:c>
      <x:c r="F278" s="3" t="str">
        <x:v>Browser with controlled API fixtures</x:v>
      </x:c>
      <x:c r="G278" s="3" t="str">
        <x:v>Run verify-application.cjs; navigate /problem-form/problem-1 at 768 px</x:v>
      </x:c>
      <x:c r="H278" s="3" t="str">
        <x:v>Controlled route fixtures; Edge browser</x:v>
      </x:c>
      <x:c r="I278" s="3" t="str">
        <x:v>Page renders without checked layout overflow/errors; role navigation assertions pass</x:v>
      </x:c>
      <x:c r="J278" s="3" t="str">
        <x:v>Passed fixture-based route/layout assertions</x:v>
      </x:c>
      <x:c r="K278" s="3" t="str"/>
      <x:c r="L278" s="3" t="str">
        <x:v>client/scripts/verify-application.cjs</x:v>
      </x:c>
      <x:c r="M278" s="3" t="str">
        <x:v>evidence/route-layout.log; evidence/layout/</x:v>
      </x:c>
      <x:c r="N278" s="10" t="str">
        <x:v>Passed</x:v>
      </x:c>
      <x:c r="O278" s="10" t="str">
        <x:v>Codex</x:v>
      </x:c>
      <x:c r="P278" s="10" t="str">
        <x:v>14 Oct 2026 — Repeated route/layout check with an appropriate role at 320, 768 and 1440 px. Controlled API fixtures.</x:v>
      </x:c>
    </x:row>
    <x:row r="279" ht="67" customHeight="1">
      <x:c r="A279" s="3" t="str">
        <x:v>LAYOUT-046</x:v>
      </x:c>
      <x:c r="B279" s="3" t="str">
        <x:v>Passed</x:v>
      </x:c>
      <x:c r="C279" s="3" t="str">
        <x:v>Page layouts</x:v>
      </x:c>
      <x:c r="D279" s="3" t="str">
        <x:v>/problems/problem-1 at 768 px</x:v>
      </x:c>
      <x:c r="E279" s="3" t="str">
        <x:v>Route-specific fixture role</x:v>
      </x:c>
      <x:c r="F279" s="3" t="str">
        <x:v>Browser with controlled API fixtures</x:v>
      </x:c>
      <x:c r="G279" s="3" t="str">
        <x:v>Run verify-application.cjs; navigate /problems/problem-1 at 768 px</x:v>
      </x:c>
      <x:c r="H279" s="3" t="str">
        <x:v>Controlled route fixtures; Edge browser</x:v>
      </x:c>
      <x:c r="I279" s="3" t="str">
        <x:v>Page renders without checked layout overflow/errors; role navigation assertions pass</x:v>
      </x:c>
      <x:c r="J279" s="3" t="str">
        <x:v>Passed fixture-based route/layout assertions</x:v>
      </x:c>
      <x:c r="K279" s="3" t="str"/>
      <x:c r="L279" s="3" t="str">
        <x:v>client/scripts/verify-application.cjs</x:v>
      </x:c>
      <x:c r="M279" s="3" t="str">
        <x:v>evidence/route-layout.log; evidence/layout/</x:v>
      </x:c>
      <x:c r="N279" s="10" t="str">
        <x:v>Passed</x:v>
      </x:c>
      <x:c r="O279" s="10" t="str">
        <x:v>Codex</x:v>
      </x:c>
      <x:c r="P279" s="10" t="str">
        <x:v>14 Oct 2026 — Repeated route/layout check with an appropriate role at 320, 768 and 1440 px. Controlled API fixtures.</x:v>
      </x:c>
    </x:row>
    <x:row r="280" ht="67" customHeight="1">
      <x:c r="A280" s="3" t="str">
        <x:v>LAYOUT-047</x:v>
      </x:c>
      <x:c r="B280" s="3" t="str">
        <x:v>Passed</x:v>
      </x:c>
      <x:c r="C280" s="3" t="str">
        <x:v>Page layouts</x:v>
      </x:c>
      <x:c r="D280" s="3" t="str">
        <x:v>/profile at 768 px</x:v>
      </x:c>
      <x:c r="E280" s="3" t="str">
        <x:v>Route-specific fixture role</x:v>
      </x:c>
      <x:c r="F280" s="3" t="str">
        <x:v>Browser with controlled API fixtures</x:v>
      </x:c>
      <x:c r="G280" s="3" t="str">
        <x:v>Run verify-application.cjs; navigate /profile at 768 px</x:v>
      </x:c>
      <x:c r="H280" s="3" t="str">
        <x:v>Controlled route fixtures; Edge browser</x:v>
      </x:c>
      <x:c r="I280" s="3" t="str">
        <x:v>Page renders without checked layout overflow/errors; role navigation assertions pass</x:v>
      </x:c>
      <x:c r="J280" s="3" t="str">
        <x:v>Passed fixture-based route/layout assertions</x:v>
      </x:c>
      <x:c r="K280" s="3" t="str"/>
      <x:c r="L280" s="3" t="str">
        <x:v>client/scripts/verify-application.cjs</x:v>
      </x:c>
      <x:c r="M280" s="3" t="str">
        <x:v>evidence/route-layout.log; evidence/layout/</x:v>
      </x:c>
      <x:c r="N280" s="10" t="str">
        <x:v>Passed</x:v>
      </x:c>
      <x:c r="O280" s="10" t="str">
        <x:v>Codex</x:v>
      </x:c>
      <x:c r="P280" s="10" t="str">
        <x:v>14 Oct 2026 — Repeated route/layout check with an appropriate role at 320, 768 and 1440 px. Controlled API fixtures.</x:v>
      </x:c>
    </x:row>
    <x:row r="281" ht="67" customHeight="1">
      <x:c r="A281" s="3" t="str">
        <x:v>LAYOUT-048</x:v>
      </x:c>
      <x:c r="B281" s="3" t="str">
        <x:v>Passed</x:v>
      </x:c>
      <x:c r="C281" s="3" t="str">
        <x:v>Page layouts</x:v>
      </x:c>
      <x:c r="D281" s="3" t="str">
        <x:v>/dashboard/problem-1 at 768 px</x:v>
      </x:c>
      <x:c r="E281" s="3" t="str">
        <x:v>Route-specific fixture role</x:v>
      </x:c>
      <x:c r="F281" s="3" t="str">
        <x:v>Browser with controlled API fixtures</x:v>
      </x:c>
      <x:c r="G281" s="3" t="str">
        <x:v>Run verify-application.cjs; navigate /dashboard/problem-1 at 768 px</x:v>
      </x:c>
      <x:c r="H281" s="3" t="str">
        <x:v>Controlled route fixtures; Edge browser</x:v>
      </x:c>
      <x:c r="I281" s="3" t="str">
        <x:v>Page renders without checked layout overflow/errors; role navigation assertions pass</x:v>
      </x:c>
      <x:c r="J281" s="3" t="str">
        <x:v>Passed fixture-based route/layout assertions</x:v>
      </x:c>
      <x:c r="K281" s="3" t="str"/>
      <x:c r="L281" s="3" t="str">
        <x:v>client/scripts/verify-application.cjs</x:v>
      </x:c>
      <x:c r="M281" s="3" t="str">
        <x:v>evidence/route-layout.log; evidence/layout/</x:v>
      </x:c>
      <x:c r="N281" s="10" t="str">
        <x:v>Passed</x:v>
      </x:c>
      <x:c r="O281" s="10" t="str">
        <x:v>Codex</x:v>
      </x:c>
      <x:c r="P281" s="10" t="str">
        <x:v>14 Oct 2026 — Repeated route/layout check with an appropriate role at 320, 768 and 1440 px. Controlled API fixtures.</x:v>
      </x:c>
    </x:row>
    <x:row r="282" ht="67" customHeight="1">
      <x:c r="A282" s="3" t="str">
        <x:v>LAYOUT-049</x:v>
      </x:c>
      <x:c r="B282" s="3" t="str">
        <x:v>Passed</x:v>
      </x:c>
      <x:c r="C282" s="3" t="str">
        <x:v>Page layouts</x:v>
      </x:c>
      <x:c r="D282" s="3" t="str">
        <x:v>/history at 768 px</x:v>
      </x:c>
      <x:c r="E282" s="3" t="str">
        <x:v>Route-specific fixture role</x:v>
      </x:c>
      <x:c r="F282" s="3" t="str">
        <x:v>Browser with controlled API fixtures</x:v>
      </x:c>
      <x:c r="G282" s="3" t="str">
        <x:v>Run verify-application.cjs; navigate /history at 768 px</x:v>
      </x:c>
      <x:c r="H282" s="3" t="str">
        <x:v>Controlled route fixtures; Edge browser</x:v>
      </x:c>
      <x:c r="I282" s="3" t="str">
        <x:v>Page renders without checked layout overflow/errors; role navigation assertions pass</x:v>
      </x:c>
      <x:c r="J282" s="3" t="str">
        <x:v>Passed fixture-based route/layout assertions</x:v>
      </x:c>
      <x:c r="K282" s="3" t="str"/>
      <x:c r="L282" s="3" t="str">
        <x:v>client/scripts/verify-application.cjs</x:v>
      </x:c>
      <x:c r="M282" s="3" t="str">
        <x:v>evidence/route-layout.log; evidence/layout/</x:v>
      </x:c>
      <x:c r="N282" s="10" t="str">
        <x:v>Passed</x:v>
      </x:c>
      <x:c r="O282" s="10" t="str">
        <x:v>Codex</x:v>
      </x:c>
      <x:c r="P282" s="10" t="str">
        <x:v>14 Oct 2026 — Repeated route/layout check with an appropriate role at 320, 768 and 1440 px. Controlled API fixtures.</x:v>
      </x:c>
    </x:row>
    <x:row r="283" ht="67" customHeight="1">
      <x:c r="A283" s="3" t="str">
        <x:v>LAYOUT-050</x:v>
      </x:c>
      <x:c r="B283" s="3" t="str">
        <x:v>Passed</x:v>
      </x:c>
      <x:c r="C283" s="3" t="str">
        <x:v>Page layouts</x:v>
      </x:c>
      <x:c r="D283" s="3" t="str">
        <x:v>/add-student-using-file at 768 px</x:v>
      </x:c>
      <x:c r="E283" s="3" t="str">
        <x:v>Route-specific fixture role</x:v>
      </x:c>
      <x:c r="F283" s="3" t="str">
        <x:v>Browser with controlled API fixtures</x:v>
      </x:c>
      <x:c r="G283" s="3" t="str">
        <x:v>Run verify-application.cjs; navigate /add-student-using-file at 768 px</x:v>
      </x:c>
      <x:c r="H283" s="3" t="str">
        <x:v>Controlled route fixtures; Edge browser</x:v>
      </x:c>
      <x:c r="I283" s="3" t="str">
        <x:v>Page renders without checked layout overflow/errors; role navigation assertions pass</x:v>
      </x:c>
      <x:c r="J283" s="3" t="str">
        <x:v>Passed fixture-based route/layout assertions</x:v>
      </x:c>
      <x:c r="K283" s="3" t="str"/>
      <x:c r="L283" s="3" t="str">
        <x:v>client/scripts/verify-application.cjs</x:v>
      </x:c>
      <x:c r="M283" s="3" t="str">
        <x:v>evidence/route-layout.log; evidence/layout/</x:v>
      </x:c>
      <x:c r="N283" s="10" t="str">
        <x:v>Passed</x:v>
      </x:c>
      <x:c r="O283" s="10" t="str">
        <x:v>Codex</x:v>
      </x:c>
      <x:c r="P283" s="10" t="str">
        <x:v>14 Oct 2026 — Repeated route/layout check with an appropriate role at 320, 768 and 1440 px. Controlled API fixtures.</x:v>
      </x:c>
    </x:row>
    <x:row r="284" ht="67" customHeight="1">
      <x:c r="A284" s="3" t="str">
        <x:v>LAYOUT-051</x:v>
      </x:c>
      <x:c r="B284" s="3" t="str">
        <x:v>Passed</x:v>
      </x:c>
      <x:c r="C284" s="3" t="str">
        <x:v>Page layouts</x:v>
      </x:c>
      <x:c r="D284" s="3" t="str">
        <x:v>/registerStudent at 768 px</x:v>
      </x:c>
      <x:c r="E284" s="3" t="str">
        <x:v>Route-specific fixture role</x:v>
      </x:c>
      <x:c r="F284" s="3" t="str">
        <x:v>Browser with controlled API fixtures</x:v>
      </x:c>
      <x:c r="G284" s="3" t="str">
        <x:v>Run verify-application.cjs; navigate /registerStudent at 768 px</x:v>
      </x:c>
      <x:c r="H284" s="3" t="str">
        <x:v>Controlled route fixtures; Edge browser</x:v>
      </x:c>
      <x:c r="I284" s="3" t="str">
        <x:v>Page renders without checked layout overflow/errors; role navigation assertions pass</x:v>
      </x:c>
      <x:c r="J284" s="3" t="str">
        <x:v>Passed fixture-based route/layout assertions</x:v>
      </x:c>
      <x:c r="K284" s="3" t="str"/>
      <x:c r="L284" s="3" t="str">
        <x:v>client/scripts/verify-application.cjs</x:v>
      </x:c>
      <x:c r="M284" s="3" t="str">
        <x:v>evidence/route-layout.log; evidence/layout/</x:v>
      </x:c>
      <x:c r="N284" s="10" t="str">
        <x:v>Passed</x:v>
      </x:c>
      <x:c r="O284" s="10" t="str">
        <x:v>Codex</x:v>
      </x:c>
      <x:c r="P284" s="10" t="str">
        <x:v>14 Oct 2026 — Repeated route/layout check with an appropriate role at 320, 768 and 1440 px. Controlled API fixtures.</x:v>
      </x:c>
    </x:row>
    <x:row r="285" ht="67" customHeight="1">
      <x:c r="A285" s="3" t="str">
        <x:v>LAYOUT-052</x:v>
      </x:c>
      <x:c r="B285" s="3" t="str">
        <x:v>Passed</x:v>
      </x:c>
      <x:c r="C285" s="3" t="str">
        <x:v>Page layouts</x:v>
      </x:c>
      <x:c r="D285" s="3" t="str">
        <x:v>/registerFaculty at 768 px</x:v>
      </x:c>
      <x:c r="E285" s="3" t="str">
        <x:v>Route-specific fixture role</x:v>
      </x:c>
      <x:c r="F285" s="3" t="str">
        <x:v>Browser with controlled API fixtures</x:v>
      </x:c>
      <x:c r="G285" s="3" t="str">
        <x:v>Run verify-application.cjs; navigate /registerFaculty at 768 px</x:v>
      </x:c>
      <x:c r="H285" s="3" t="str">
        <x:v>Controlled route fixtures; Edge browser</x:v>
      </x:c>
      <x:c r="I285" s="3" t="str">
        <x:v>Page renders without checked layout overflow/errors; role navigation assertions pass</x:v>
      </x:c>
      <x:c r="J285" s="3" t="str">
        <x:v>Passed fixture-based route/layout assertions</x:v>
      </x:c>
      <x:c r="K285" s="3" t="str"/>
      <x:c r="L285" s="3" t="str">
        <x:v>client/scripts/verify-application.cjs</x:v>
      </x:c>
      <x:c r="M285" s="3" t="str">
        <x:v>evidence/route-layout.log; evidence/layout/</x:v>
      </x:c>
      <x:c r="N285" s="10" t="str">
        <x:v>Passed</x:v>
      </x:c>
      <x:c r="O285" s="10" t="str">
        <x:v>Codex</x:v>
      </x:c>
      <x:c r="P285" s="10" t="str">
        <x:v>14 Oct 2026 — Repeated route/layout check with an appropriate role at 320, 768 and 1440 px. Controlled API fixtures.</x:v>
      </x:c>
    </x:row>
    <x:row r="286" ht="67" customHeight="1">
      <x:c r="A286" s="3" t="str">
        <x:v>LAYOUT-053</x:v>
      </x:c>
      <x:c r="B286" s="3" t="str">
        <x:v>Passed</x:v>
      </x:c>
      <x:c r="C286" s="3" t="str">
        <x:v>Page layouts</x:v>
      </x:c>
      <x:c r="D286" s="3" t="str">
        <x:v>/students/teacher-1 at 768 px</x:v>
      </x:c>
      <x:c r="E286" s="3" t="str">
        <x:v>Route-specific fixture role</x:v>
      </x:c>
      <x:c r="F286" s="3" t="str">
        <x:v>Browser with controlled API fixtures</x:v>
      </x:c>
      <x:c r="G286" s="3" t="str">
        <x:v>Run verify-application.cjs; navigate /students/teacher-1 at 768 px</x:v>
      </x:c>
      <x:c r="H286" s="3" t="str">
        <x:v>Controlled route fixtures; Edge browser</x:v>
      </x:c>
      <x:c r="I286" s="3" t="str">
        <x:v>Page renders without checked layout overflow/errors; role navigation assertions pass</x:v>
      </x:c>
      <x:c r="J286" s="3" t="str">
        <x:v>Passed fixture-based route/layout assertions</x:v>
      </x:c>
      <x:c r="K286" s="3" t="str"/>
      <x:c r="L286" s="3" t="str">
        <x:v>client/scripts/verify-application.cjs</x:v>
      </x:c>
      <x:c r="M286" s="3" t="str">
        <x:v>evidence/route-layout.log; evidence/layout/</x:v>
      </x:c>
      <x:c r="N286" s="10" t="str">
        <x:v>Passed</x:v>
      </x:c>
      <x:c r="O286" s="10" t="str">
        <x:v>Codex</x:v>
      </x:c>
      <x:c r="P286" s="10" t="str">
        <x:v>14 Oct 2026 — Repeated route/layout check with an appropriate role at 320, 768 and 1440 px. Controlled API fixtures.</x:v>
      </x:c>
    </x:row>
    <x:row r="287" ht="67" customHeight="1">
      <x:c r="A287" s="3" t="str">
        <x:v>LAYOUT-054</x:v>
      </x:c>
      <x:c r="B287" s="3" t="str">
        <x:v>Passed</x:v>
      </x:c>
      <x:c r="C287" s="3" t="str">
        <x:v>Page layouts</x:v>
      </x:c>
      <x:c r="D287" s="3" t="str">
        <x:v>/assignProblem/problem-1 at 768 px</x:v>
      </x:c>
      <x:c r="E287" s="3" t="str">
        <x:v>Route-specific fixture role</x:v>
      </x:c>
      <x:c r="F287" s="3" t="str">
        <x:v>Browser with controlled API fixtures</x:v>
      </x:c>
      <x:c r="G287" s="3" t="str">
        <x:v>Run verify-application.cjs; navigate /assignProblem/problem-1 at 768 px</x:v>
      </x:c>
      <x:c r="H287" s="3" t="str">
        <x:v>Controlled route fixtures; Edge browser</x:v>
      </x:c>
      <x:c r="I287" s="3" t="str">
        <x:v>Page renders without checked layout overflow/errors; role navigation assertions pass</x:v>
      </x:c>
      <x:c r="J287" s="3" t="str">
        <x:v>Passed fixture-based route/layout assertions</x:v>
      </x:c>
      <x:c r="K287" s="3" t="str"/>
      <x:c r="L287" s="3" t="str">
        <x:v>client/scripts/verify-application.cjs</x:v>
      </x:c>
      <x:c r="M287" s="3" t="str">
        <x:v>evidence/route-layout.log; evidence/layout/</x:v>
      </x:c>
      <x:c r="N287" s="10" t="str">
        <x:v>Passed</x:v>
      </x:c>
      <x:c r="O287" s="10" t="str">
        <x:v>Codex</x:v>
      </x:c>
      <x:c r="P287" s="10" t="str">
        <x:v>14 Oct 2026 — Repeated route/layout check with an appropriate role at 320, 768 and 1440 px. Controlled API fixtures.</x:v>
      </x:c>
    </x:row>
    <x:row r="288" ht="67" customHeight="1">
      <x:c r="A288" s="3" t="str">
        <x:v>LAYOUT-055</x:v>
      </x:c>
      <x:c r="B288" s="3" t="str">
        <x:v>Passed</x:v>
      </x:c>
      <x:c r="C288" s="3" t="str">
        <x:v>Page layouts</x:v>
      </x:c>
      <x:c r="D288" s="3" t="str">
        <x:v>/assignedStudents/problem-1 at 768 px</x:v>
      </x:c>
      <x:c r="E288" s="3" t="str">
        <x:v>Route-specific fixture role</x:v>
      </x:c>
      <x:c r="F288" s="3" t="str">
        <x:v>Browser with controlled API fixtures</x:v>
      </x:c>
      <x:c r="G288" s="3" t="str">
        <x:v>Run verify-application.cjs; navigate /assignedStudents/problem-1 at 768 px</x:v>
      </x:c>
      <x:c r="H288" s="3" t="str">
        <x:v>Controlled route fixtures; Edge browser</x:v>
      </x:c>
      <x:c r="I288" s="3" t="str">
        <x:v>Page renders without checked layout overflow/errors; role navigation assertions pass</x:v>
      </x:c>
      <x:c r="J288" s="3" t="str">
        <x:v>Passed fixture-based route/layout assertions</x:v>
      </x:c>
      <x:c r="K288" s="3" t="str"/>
      <x:c r="L288" s="3" t="str">
        <x:v>client/scripts/verify-application.cjs</x:v>
      </x:c>
      <x:c r="M288" s="3" t="str">
        <x:v>evidence/route-layout.log; evidence/layout/</x:v>
      </x:c>
      <x:c r="N288" s="10" t="str">
        <x:v>Passed</x:v>
      </x:c>
      <x:c r="O288" s="10" t="str">
        <x:v>Codex</x:v>
      </x:c>
      <x:c r="P288" s="10" t="str">
        <x:v>14 Oct 2026 — Repeated route/layout check with an appropriate role at 320, 768 and 1440 px. Controlled API fixtures.</x:v>
      </x:c>
    </x:row>
    <x:row r="289" ht="67" customHeight="1">
      <x:c r="A289" s="3" t="str">
        <x:v>LAYOUT-056</x:v>
      </x:c>
      <x:c r="B289" s="3" t="str">
        <x:v>Passed</x:v>
      </x:c>
      <x:c r="C289" s="3" t="str">
        <x:v>Page layouts</x:v>
      </x:c>
      <x:c r="D289" s="3" t="str">
        <x:v>/studentinformation at 768 px</x:v>
      </x:c>
      <x:c r="E289" s="3" t="str">
        <x:v>Route-specific fixture role</x:v>
      </x:c>
      <x:c r="F289" s="3" t="str">
        <x:v>Browser with controlled API fixtures</x:v>
      </x:c>
      <x:c r="G289" s="3" t="str">
        <x:v>Run verify-application.cjs; navigate /studentinformation at 768 px</x:v>
      </x:c>
      <x:c r="H289" s="3" t="str">
        <x:v>Controlled route fixtures; Edge browser</x:v>
      </x:c>
      <x:c r="I289" s="3" t="str">
        <x:v>Page renders without checked layout overflow/errors; role navigation assertions pass</x:v>
      </x:c>
      <x:c r="J289" s="3" t="str">
        <x:v>Passed fixture-based route/layout assertions</x:v>
      </x:c>
      <x:c r="K289" s="3" t="str"/>
      <x:c r="L289" s="3" t="str">
        <x:v>client/scripts/verify-application.cjs</x:v>
      </x:c>
      <x:c r="M289" s="3" t="str">
        <x:v>evidence/route-layout.log; evidence/layout/</x:v>
      </x:c>
      <x:c r="N289" s="10" t="str">
        <x:v>Passed</x:v>
      </x:c>
      <x:c r="O289" s="10" t="str">
        <x:v>Codex</x:v>
      </x:c>
      <x:c r="P289" s="10" t="str">
        <x:v>14 Oct 2026 — Repeated route/layout check with an appropriate role at 320, 768 and 1440 px. Controlled API fixtures.</x:v>
      </x:c>
    </x:row>
    <x:row r="290" ht="67" customHeight="1">
      <x:c r="A290" s="3" t="str">
        <x:v>LAYOUT-057</x:v>
      </x:c>
      <x:c r="B290" s="3" t="str">
        <x:v>Passed</x:v>
      </x:c>
      <x:c r="C290" s="3" t="str">
        <x:v>Page layouts</x:v>
      </x:c>
      <x:c r="D290" s="3" t="str">
        <x:v>/submissions/submission-1 at 768 px</x:v>
      </x:c>
      <x:c r="E290" s="3" t="str">
        <x:v>Route-specific fixture role</x:v>
      </x:c>
      <x:c r="F290" s="3" t="str">
        <x:v>Browser with controlled API fixtures</x:v>
      </x:c>
      <x:c r="G290" s="3" t="str">
        <x:v>Run verify-application.cjs; navigate /submissions/submission-1 at 768 px</x:v>
      </x:c>
      <x:c r="H290" s="3" t="str">
        <x:v>Controlled route fixtures; Edge browser</x:v>
      </x:c>
      <x:c r="I290" s="3" t="str">
        <x:v>Page renders without checked layout overflow/errors; role navigation assertions pass</x:v>
      </x:c>
      <x:c r="J290" s="3" t="str">
        <x:v>Passed fixture-based route/layout assertions</x:v>
      </x:c>
      <x:c r="K290" s="3" t="str"/>
      <x:c r="L290" s="3" t="str">
        <x:v>client/scripts/verify-application.cjs</x:v>
      </x:c>
      <x:c r="M290" s="3" t="str">
        <x:v>evidence/route-layout.log; evidence/layout/</x:v>
      </x:c>
      <x:c r="N290" s="10" t="str">
        <x:v>Passed</x:v>
      </x:c>
      <x:c r="O290" s="10" t="str">
        <x:v>Codex</x:v>
      </x:c>
      <x:c r="P290" s="10" t="str">
        <x:v>14 Oct 2026 — Repeated route/layout check with an appropriate role at 320, 768 and 1440 px. Controlled API fixtures.</x:v>
      </x:c>
    </x:row>
    <x:row r="291" ht="67" customHeight="1">
      <x:c r="A291" s="3" t="str">
        <x:v>LAYOUT-058</x:v>
      </x:c>
      <x:c r="B291" s="3" t="str">
        <x:v>Passed</x:v>
      </x:c>
      <x:c r="C291" s="3" t="str">
        <x:v>Page layouts</x:v>
      </x:c>
      <x:c r="D291" s="3" t="str">
        <x:v>/assignContestToStudents/contest-1 at 768 px</x:v>
      </x:c>
      <x:c r="E291" s="3" t="str">
        <x:v>Route-specific fixture role</x:v>
      </x:c>
      <x:c r="F291" s="3" t="str">
        <x:v>Browser with controlled API fixtures</x:v>
      </x:c>
      <x:c r="G291" s="3" t="str">
        <x:v>Run verify-application.cjs; navigate /assignContestToStudents/contest-1 at 768 px</x:v>
      </x:c>
      <x:c r="H291" s="3" t="str">
        <x:v>Controlled route fixtures; Edge browser</x:v>
      </x:c>
      <x:c r="I291" s="3" t="str">
        <x:v>Page renders without checked layout overflow/errors; role navigation assertions pass</x:v>
      </x:c>
      <x:c r="J291" s="3" t="str">
        <x:v>Passed fixture-based route/layout assertions</x:v>
      </x:c>
      <x:c r="K291" s="3" t="str"/>
      <x:c r="L291" s="3" t="str">
        <x:v>client/scripts/verify-application.cjs</x:v>
      </x:c>
      <x:c r="M291" s="3" t="str">
        <x:v>evidence/route-layout.log; evidence/layout/</x:v>
      </x:c>
      <x:c r="N291" s="10" t="str">
        <x:v>Passed</x:v>
      </x:c>
      <x:c r="O291" s="10" t="str">
        <x:v>Codex</x:v>
      </x:c>
      <x:c r="P291" s="10" t="str">
        <x:v>14 Oct 2026 — Repeated route/layout check with an appropriate role at 320, 768 and 1440 px. Controlled API fixtures.</x:v>
      </x:c>
    </x:row>
    <x:row r="292" ht="67" customHeight="1">
      <x:c r="A292" s="3" t="str">
        <x:v>LAYOUT-059</x:v>
      </x:c>
      <x:c r="B292" s="3" t="str">
        <x:v>Passed</x:v>
      </x:c>
      <x:c r="C292" s="3" t="str">
        <x:v>Page layouts</x:v>
      </x:c>
      <x:c r="D292" s="3" t="str">
        <x:v>/unassignContestToStudents/contest-1 at 768 px</x:v>
      </x:c>
      <x:c r="E292" s="3" t="str">
        <x:v>Route-specific fixture role</x:v>
      </x:c>
      <x:c r="F292" s="3" t="str">
        <x:v>Browser with controlled API fixtures</x:v>
      </x:c>
      <x:c r="G292" s="3" t="str">
        <x:v>Run verify-application.cjs; navigate /unassignContestToStudents/contest-1 at 768 px</x:v>
      </x:c>
      <x:c r="H292" s="3" t="str">
        <x:v>Controlled route fixtures; Edge browser</x:v>
      </x:c>
      <x:c r="I292" s="3" t="str">
        <x:v>Page renders without checked layout overflow/errors; role navigation assertions pass</x:v>
      </x:c>
      <x:c r="J292" s="3" t="str">
        <x:v>Passed fixture-based route/layout assertions</x:v>
      </x:c>
      <x:c r="K292" s="3" t="str"/>
      <x:c r="L292" s="3" t="str">
        <x:v>client/scripts/verify-application.cjs</x:v>
      </x:c>
      <x:c r="M292" s="3" t="str">
        <x:v>evidence/route-layout.log; evidence/layout/</x:v>
      </x:c>
      <x:c r="N292" s="10" t="str">
        <x:v>Passed</x:v>
      </x:c>
      <x:c r="O292" s="10" t="str">
        <x:v>Codex</x:v>
      </x:c>
      <x:c r="P292" s="10" t="str">
        <x:v>14 Oct 2026 — Repeated route/layout check with an appropriate role at 320, 768 and 1440 px. Controlled API fixtures.</x:v>
      </x:c>
    </x:row>
    <x:row r="293" ht="67" customHeight="1">
      <x:c r="A293" s="3" t="str">
        <x:v>LAYOUT-060</x:v>
      </x:c>
      <x:c r="B293" s="3" t="str">
        <x:v>Passed</x:v>
      </x:c>
      <x:c r="C293" s="3" t="str">
        <x:v>Page layouts</x:v>
      </x:c>
      <x:c r="D293" s="3" t="str">
        <x:v>/duplicate at 768 px</x:v>
      </x:c>
      <x:c r="E293" s="3" t="str">
        <x:v>Route-specific fixture role</x:v>
      </x:c>
      <x:c r="F293" s="3" t="str">
        <x:v>Browser with controlled API fixtures</x:v>
      </x:c>
      <x:c r="G293" s="3" t="str">
        <x:v>Run verify-application.cjs; navigate /duplicate at 768 px</x:v>
      </x:c>
      <x:c r="H293" s="3" t="str">
        <x:v>Controlled route fixtures; Edge browser</x:v>
      </x:c>
      <x:c r="I293" s="3" t="str">
        <x:v>Page renders without checked layout overflow/errors; role navigation assertions pass</x:v>
      </x:c>
      <x:c r="J293" s="3" t="str">
        <x:v>Passed fixture-based route/layout assertions</x:v>
      </x:c>
      <x:c r="K293" s="3" t="str"/>
      <x:c r="L293" s="3" t="str">
        <x:v>client/scripts/verify-application.cjs</x:v>
      </x:c>
      <x:c r="M293" s="3" t="str">
        <x:v>evidence/route-layout.log; evidence/layout/</x:v>
      </x:c>
      <x:c r="N293" s="10" t="str">
        <x:v>Passed</x:v>
      </x:c>
      <x:c r="O293" s="10" t="str">
        <x:v>Codex</x:v>
      </x:c>
      <x:c r="P293" s="10" t="str">
        <x:v>14 Oct 2026 — Repeated route/layout check with an appropriate role at 320, 768 and 1440 px. Controlled API fixtures.</x:v>
      </x:c>
    </x:row>
    <x:row r="294" ht="67" customHeight="1">
      <x:c r="A294" s="3" t="str">
        <x:v>LAYOUT-061</x:v>
      </x:c>
      <x:c r="B294" s="3" t="str">
        <x:v>Passed</x:v>
      </x:c>
      <x:c r="C294" s="3" t="str">
        <x:v>Page layouts</x:v>
      </x:c>
      <x:c r="D294" s="3" t="str">
        <x:v>/contests/contest-1 at 768 px</x:v>
      </x:c>
      <x:c r="E294" s="3" t="str">
        <x:v>Route-specific fixture role</x:v>
      </x:c>
      <x:c r="F294" s="3" t="str">
        <x:v>Browser with controlled API fixtures</x:v>
      </x:c>
      <x:c r="G294" s="3" t="str">
        <x:v>Run verify-application.cjs; navigate /contests/contest-1 at 768 px</x:v>
      </x:c>
      <x:c r="H294" s="3" t="str">
        <x:v>Controlled route fixtures; Edge browser</x:v>
      </x:c>
      <x:c r="I294" s="3" t="str">
        <x:v>Page renders without checked layout overflow/errors; role navigation assertions pass</x:v>
      </x:c>
      <x:c r="J294" s="3" t="str">
        <x:v>Passed fixture-based route/layout assertions</x:v>
      </x:c>
      <x:c r="K294" s="3" t="str"/>
      <x:c r="L294" s="3" t="str">
        <x:v>client/scripts/verify-application.cjs</x:v>
      </x:c>
      <x:c r="M294" s="3" t="str">
        <x:v>evidence/route-layout.log; evidence/layout/</x:v>
      </x:c>
      <x:c r="N294" s="10" t="str">
        <x:v>Passed</x:v>
      </x:c>
      <x:c r="O294" s="10" t="str">
        <x:v>Codex</x:v>
      </x:c>
      <x:c r="P294" s="10" t="str">
        <x:v>14 Oct 2026 — Repeated route/layout check with an appropriate role at 320, 768 and 1440 px. Controlled API fixtures.</x:v>
      </x:c>
    </x:row>
    <x:row r="295" ht="67" customHeight="1">
      <x:c r="A295" s="3" t="str">
        <x:v>LAYOUT-062</x:v>
      </x:c>
      <x:c r="B295" s="3" t="str">
        <x:v>Passed</x:v>
      </x:c>
      <x:c r="C295" s="3" t="str">
        <x:v>Page layouts</x:v>
      </x:c>
      <x:c r="D295" s="3" t="str">
        <x:v>/contests/contest-1/dashboard at 768 px</x:v>
      </x:c>
      <x:c r="E295" s="3" t="str">
        <x:v>Route-specific fixture role</x:v>
      </x:c>
      <x:c r="F295" s="3" t="str">
        <x:v>Browser with controlled API fixtures</x:v>
      </x:c>
      <x:c r="G295" s="3" t="str">
        <x:v>Run verify-application.cjs; navigate /contests/contest-1/dashboard at 768 px</x:v>
      </x:c>
      <x:c r="H295" s="3" t="str">
        <x:v>Controlled route fixtures; Edge browser</x:v>
      </x:c>
      <x:c r="I295" s="3" t="str">
        <x:v>Page renders without checked layout overflow/errors; role navigation assertions pass</x:v>
      </x:c>
      <x:c r="J295" s="3" t="str">
        <x:v>Passed fixture-based route/layout assertions</x:v>
      </x:c>
      <x:c r="K295" s="3" t="str"/>
      <x:c r="L295" s="3" t="str">
        <x:v>client/scripts/verify-application.cjs</x:v>
      </x:c>
      <x:c r="M295" s="3" t="str">
        <x:v>evidence/route-layout.log; evidence/layout/</x:v>
      </x:c>
      <x:c r="N295" s="10" t="str">
        <x:v>Passed</x:v>
      </x:c>
      <x:c r="O295" s="10" t="str">
        <x:v>Codex</x:v>
      </x:c>
      <x:c r="P295" s="10" t="str">
        <x:v>14 Oct 2026 — Repeated route/layout check with an appropriate role at 320, 768 and 1440 px. Controlled API fixtures.</x:v>
      </x:c>
    </x:row>
    <x:row r="296" ht="67" customHeight="1">
      <x:c r="A296" s="3" t="str">
        <x:v>LAYOUT-063</x:v>
      </x:c>
      <x:c r="B296" s="3" t="str">
        <x:v>Passed</x:v>
      </x:c>
      <x:c r="C296" s="3" t="str">
        <x:v>Page layouts</x:v>
      </x:c>
      <x:c r="D296" s="3" t="str">
        <x:v>/session-management at 768 px</x:v>
      </x:c>
      <x:c r="E296" s="3" t="str">
        <x:v>Route-specific fixture role</x:v>
      </x:c>
      <x:c r="F296" s="3" t="str">
        <x:v>Browser with controlled API fixtures</x:v>
      </x:c>
      <x:c r="G296" s="3" t="str">
        <x:v>Run verify-application.cjs; navigate /session-management at 768 px</x:v>
      </x:c>
      <x:c r="H296" s="3" t="str">
        <x:v>Controlled route fixtures; Edge browser</x:v>
      </x:c>
      <x:c r="I296" s="3" t="str">
        <x:v>Page renders without checked layout overflow/errors; role navigation assertions pass</x:v>
      </x:c>
      <x:c r="J296" s="3" t="str">
        <x:v>Passed fixture-based route/layout assertions</x:v>
      </x:c>
      <x:c r="K296" s="3" t="str"/>
      <x:c r="L296" s="3" t="str">
        <x:v>client/scripts/verify-application.cjs</x:v>
      </x:c>
      <x:c r="M296" s="3" t="str">
        <x:v>evidence/route-layout.log; evidence/layout/</x:v>
      </x:c>
      <x:c r="N296" s="10" t="str">
        <x:v>Passed</x:v>
      </x:c>
      <x:c r="O296" s="10" t="str">
        <x:v>Codex</x:v>
      </x:c>
      <x:c r="P296" s="10" t="str">
        <x:v>14 Oct 2026 — Repeated route/layout check with an appropriate role at 320, 768 and 1440 px. Controlled API fixtures.</x:v>
      </x:c>
    </x:row>
    <x:row r="297" ht="67" customHeight="1">
      <x:c r="A297" s="3" t="str">
        <x:v>LAYOUT-064</x:v>
      </x:c>
      <x:c r="B297" s="3" t="str">
        <x:v>Passed</x:v>
      </x:c>
      <x:c r="C297" s="3" t="str">
        <x:v>Page layouts</x:v>
      </x:c>
      <x:c r="D297" s="3" t="str">
        <x:v>/missing-page at 768 px</x:v>
      </x:c>
      <x:c r="E297" s="3" t="str">
        <x:v>Route-specific fixture role</x:v>
      </x:c>
      <x:c r="F297" s="3" t="str">
        <x:v>Browser with controlled API fixtures</x:v>
      </x:c>
      <x:c r="G297" s="3" t="str">
        <x:v>Run verify-application.cjs; navigate /missing-page at 768 px</x:v>
      </x:c>
      <x:c r="H297" s="3" t="str">
        <x:v>Controlled route fixtures; Edge browser</x:v>
      </x:c>
      <x:c r="I297" s="3" t="str">
        <x:v>Page renders without checked layout overflow/errors; role navigation assertions pass</x:v>
      </x:c>
      <x:c r="J297" s="3" t="str">
        <x:v>Passed fixture-based route/layout assertions</x:v>
      </x:c>
      <x:c r="K297" s="3" t="str"/>
      <x:c r="L297" s="3" t="str">
        <x:v>client/scripts/verify-application.cjs</x:v>
      </x:c>
      <x:c r="M297" s="3" t="str">
        <x:v>evidence/route-layout.log; evidence/layout/</x:v>
      </x:c>
      <x:c r="N297" s="10" t="str">
        <x:v>Passed</x:v>
      </x:c>
      <x:c r="O297" s="10" t="str">
        <x:v>Codex</x:v>
      </x:c>
      <x:c r="P297" s="10" t="str">
        <x:v>14 Oct 2026 — Repeated route/layout check with an appropriate role at 320, 768 and 1440 px. Controlled API fixtures.</x:v>
      </x:c>
    </x:row>
    <x:row r="298" ht="67" customHeight="1">
      <x:c r="A298" s="3" t="str">
        <x:v>LAYOUT-065</x:v>
      </x:c>
      <x:c r="B298" s="3" t="str">
        <x:v>Passed</x:v>
      </x:c>
      <x:c r="C298" s="3" t="str">
        <x:v>Page layouts</x:v>
      </x:c>
      <x:c r="D298" s="3" t="str">
        <x:v>/browse at 1440 px</x:v>
      </x:c>
      <x:c r="E298" s="3" t="str">
        <x:v>Route-specific fixture role</x:v>
      </x:c>
      <x:c r="F298" s="3" t="str">
        <x:v>Browser with controlled API fixtures</x:v>
      </x:c>
      <x:c r="G298" s="3" t="str">
        <x:v>Run verify-application.cjs; navigate /browse at 1440 px</x:v>
      </x:c>
      <x:c r="H298" s="3" t="str">
        <x:v>Controlled route fixtures; Edge browser</x:v>
      </x:c>
      <x:c r="I298" s="3" t="str">
        <x:v>Page renders without checked layout overflow/errors; role navigation assertions pass</x:v>
      </x:c>
      <x:c r="J298" s="3" t="str">
        <x:v>Passed fixture-based route/layout assertions</x:v>
      </x:c>
      <x:c r="K298" s="3" t="str"/>
      <x:c r="L298" s="3" t="str">
        <x:v>client/scripts/verify-application.cjs</x:v>
      </x:c>
      <x:c r="M298" s="3" t="str">
        <x:v>evidence/route-layout.log; evidence/layout/</x:v>
      </x:c>
      <x:c r="N298" s="10" t="str">
        <x:v>Passed</x:v>
      </x:c>
      <x:c r="O298" s="10" t="str">
        <x:v>Codex</x:v>
      </x:c>
      <x:c r="P298" s="10" t="str">
        <x:v>14 Oct 2026 — Repeated route/layout check with an appropriate role at 320, 768 and 1440 px. Controlled API fixtures.</x:v>
      </x:c>
    </x:row>
    <x:row r="299" ht="67" customHeight="1">
      <x:c r="A299" s="3" t="str">
        <x:v>LAYOUT-066</x:v>
      </x:c>
      <x:c r="B299" s="3" t="str">
        <x:v>Passed</x:v>
      </x:c>
      <x:c r="C299" s="3" t="str">
        <x:v>Page layouts</x:v>
      </x:c>
      <x:c r="D299" s="3" t="str">
        <x:v>/make-contest at 1440 px</x:v>
      </x:c>
      <x:c r="E299" s="3" t="str">
        <x:v>Route-specific fixture role</x:v>
      </x:c>
      <x:c r="F299" s="3" t="str">
        <x:v>Browser with controlled API fixtures</x:v>
      </x:c>
      <x:c r="G299" s="3" t="str">
        <x:v>Run verify-application.cjs; navigate /make-contest at 1440 px</x:v>
      </x:c>
      <x:c r="H299" s="3" t="str">
        <x:v>Controlled route fixtures; Edge browser</x:v>
      </x:c>
      <x:c r="I299" s="3" t="str">
        <x:v>Page renders without checked layout overflow/errors; role navigation assertions pass</x:v>
      </x:c>
      <x:c r="J299" s="3" t="str">
        <x:v>Passed fixture-based route/layout assertions</x:v>
      </x:c>
      <x:c r="K299" s="3" t="str"/>
      <x:c r="L299" s="3" t="str">
        <x:v>client/scripts/verify-application.cjs</x:v>
      </x:c>
      <x:c r="M299" s="3" t="str">
        <x:v>evidence/route-layout.log; evidence/layout/</x:v>
      </x:c>
      <x:c r="N299" s="10" t="str">
        <x:v>Passed</x:v>
      </x:c>
      <x:c r="O299" s="10" t="str">
        <x:v>Codex</x:v>
      </x:c>
      <x:c r="P299" s="10" t="str">
        <x:v>14 Oct 2026 — Repeated route/layout check with an appropriate role at 320, 768 and 1440 px. Controlled API fixtures.</x:v>
      </x:c>
    </x:row>
    <x:row r="300" ht="67" customHeight="1">
      <x:c r="A300" s="3" t="str">
        <x:v>LAYOUT-067</x:v>
      </x:c>
      <x:c r="B300" s="3" t="str">
        <x:v>Passed</x:v>
      </x:c>
      <x:c r="C300" s="3" t="str">
        <x:v>Page layouts</x:v>
      </x:c>
      <x:c r="D300" s="3" t="str">
        <x:v>/assessments at 1440 px</x:v>
      </x:c>
      <x:c r="E300" s="3" t="str">
        <x:v>Route-specific fixture role</x:v>
      </x:c>
      <x:c r="F300" s="3" t="str">
        <x:v>Browser with controlled API fixtures</x:v>
      </x:c>
      <x:c r="G300" s="3" t="str">
        <x:v>Run verify-application.cjs; navigate /assessments at 1440 px</x:v>
      </x:c>
      <x:c r="H300" s="3" t="str">
        <x:v>Controlled route fixtures; Edge browser</x:v>
      </x:c>
      <x:c r="I300" s="3" t="str">
        <x:v>Page renders without checked layout overflow/errors; role navigation assertions pass</x:v>
      </x:c>
      <x:c r="J300" s="3" t="str">
        <x:v>Passed fixture-based route/layout assertions</x:v>
      </x:c>
      <x:c r="K300" s="3" t="str"/>
      <x:c r="L300" s="3" t="str">
        <x:v>client/scripts/verify-application.cjs</x:v>
      </x:c>
      <x:c r="M300" s="3" t="str">
        <x:v>evidence/route-layout.log; evidence/layout/</x:v>
      </x:c>
      <x:c r="N300" s="10" t="str">
        <x:v>Passed</x:v>
      </x:c>
      <x:c r="O300" s="10" t="str">
        <x:v>Codex</x:v>
      </x:c>
      <x:c r="P300" s="10" t="str">
        <x:v>14 Oct 2026 — Repeated route/layout check with an appropriate role at 320, 768 and 1440 px. Controlled API fixtures.</x:v>
      </x:c>
    </x:row>
    <x:row r="301" ht="67" customHeight="1">
      <x:c r="A301" s="3" t="str">
        <x:v>LAYOUT-068</x:v>
      </x:c>
      <x:c r="B301" s="3" t="str">
        <x:v>Passed</x:v>
      </x:c>
      <x:c r="C301" s="3" t="str">
        <x:v>Page layouts</x:v>
      </x:c>
      <x:c r="D301" s="3" t="str">
        <x:v>/create-contest at 1440 px</x:v>
      </x:c>
      <x:c r="E301" s="3" t="str">
        <x:v>Route-specific fixture role</x:v>
      </x:c>
      <x:c r="F301" s="3" t="str">
        <x:v>Browser with controlled API fixtures</x:v>
      </x:c>
      <x:c r="G301" s="3" t="str">
        <x:v>Run verify-application.cjs; navigate /create-contest at 1440 px</x:v>
      </x:c>
      <x:c r="H301" s="3" t="str">
        <x:v>Controlled route fixtures; Edge browser</x:v>
      </x:c>
      <x:c r="I301" s="3" t="str">
        <x:v>Page renders without checked layout overflow/errors; role navigation assertions pass</x:v>
      </x:c>
      <x:c r="J301" s="3" t="str">
        <x:v>Passed fixture-based route/layout assertions</x:v>
      </x:c>
      <x:c r="K301" s="3" t="str"/>
      <x:c r="L301" s="3" t="str">
        <x:v>client/scripts/verify-application.cjs</x:v>
      </x:c>
      <x:c r="M301" s="3" t="str">
        <x:v>evidence/route-layout.log; evidence/layout/</x:v>
      </x:c>
      <x:c r="N301" s="10" t="str">
        <x:v>Passed</x:v>
      </x:c>
      <x:c r="O301" s="10" t="str">
        <x:v>Codex</x:v>
      </x:c>
      <x:c r="P301" s="10" t="str">
        <x:v>14 Oct 2026 — Repeated route/layout check with an appropriate role at 320, 768 and 1440 px. Controlled API fixtures.</x:v>
      </x:c>
    </x:row>
    <x:row r="302" ht="67" customHeight="1">
      <x:c r="A302" s="3" t="str">
        <x:v>LAYOUT-069</x:v>
      </x:c>
      <x:c r="B302" s="3" t="str">
        <x:v>Passed</x:v>
      </x:c>
      <x:c r="C302" s="3" t="str">
        <x:v>Page layouts</x:v>
      </x:c>
      <x:c r="D302" s="3" t="str">
        <x:v>/create-contest/contest-1 at 1440 px</x:v>
      </x:c>
      <x:c r="E302" s="3" t="str">
        <x:v>Route-specific fixture role</x:v>
      </x:c>
      <x:c r="F302" s="3" t="str">
        <x:v>Browser with controlled API fixtures</x:v>
      </x:c>
      <x:c r="G302" s="3" t="str">
        <x:v>Run verify-application.cjs; navigate /create-contest/contest-1 at 1440 px</x:v>
      </x:c>
      <x:c r="H302" s="3" t="str">
        <x:v>Controlled route fixtures; Edge browser</x:v>
      </x:c>
      <x:c r="I302" s="3" t="str">
        <x:v>Page renders without checked layout overflow/errors; role navigation assertions pass</x:v>
      </x:c>
      <x:c r="J302" s="3" t="str">
        <x:v>Passed fixture-based route/layout assertions</x:v>
      </x:c>
      <x:c r="K302" s="3" t="str"/>
      <x:c r="L302" s="3" t="str">
        <x:v>client/scripts/verify-application.cjs</x:v>
      </x:c>
      <x:c r="M302" s="3" t="str">
        <x:v>evidence/route-layout.log; evidence/layout/</x:v>
      </x:c>
      <x:c r="N302" s="10" t="str">
        <x:v>Passed</x:v>
      </x:c>
      <x:c r="O302" s="10" t="str">
        <x:v>Codex</x:v>
      </x:c>
      <x:c r="P302" s="10" t="str">
        <x:v>14 Oct 2026 — Repeated route/layout check with an appropriate role at 320, 768 and 1440 px. Controlled API fixtures.</x:v>
      </x:c>
    </x:row>
    <x:row r="303" ht="67" customHeight="1">
      <x:c r="A303" s="3" t="str">
        <x:v>LAYOUT-070</x:v>
      </x:c>
      <x:c r="B303" s="3" t="str">
        <x:v>Passed</x:v>
      </x:c>
      <x:c r="C303" s="3" t="str">
        <x:v>Page layouts</x:v>
      </x:c>
      <x:c r="D303" s="3" t="str">
        <x:v>/support at 1440 px</x:v>
      </x:c>
      <x:c r="E303" s="3" t="str">
        <x:v>Route-specific fixture role</x:v>
      </x:c>
      <x:c r="F303" s="3" t="str">
        <x:v>Browser with controlled API fixtures</x:v>
      </x:c>
      <x:c r="G303" s="3" t="str">
        <x:v>Run verify-application.cjs; navigate /support at 1440 px</x:v>
      </x:c>
      <x:c r="H303" s="3" t="str">
        <x:v>Controlled route fixtures; Edge browser</x:v>
      </x:c>
      <x:c r="I303" s="3" t="str">
        <x:v>Page renders without checked layout overflow/errors; role navigation assertions pass</x:v>
      </x:c>
      <x:c r="J303" s="3" t="str">
        <x:v>Passed fixture-based route/layout assertions</x:v>
      </x:c>
      <x:c r="K303" s="3" t="str"/>
      <x:c r="L303" s="3" t="str">
        <x:v>client/scripts/verify-application.cjs</x:v>
      </x:c>
      <x:c r="M303" s="3" t="str">
        <x:v>evidence/route-layout.log; evidence/layout/</x:v>
      </x:c>
      <x:c r="N303" s="10" t="str">
        <x:v>Passed</x:v>
      </x:c>
      <x:c r="O303" s="10" t="str">
        <x:v>Codex</x:v>
      </x:c>
      <x:c r="P303" s="10" t="str">
        <x:v>14 Oct 2026 — Repeated route/layout check with an appropriate role at 320, 768 and 1440 px. Controlled API fixtures.</x:v>
      </x:c>
    </x:row>
    <x:row r="304" ht="67" customHeight="1">
      <x:c r="A304" s="3" t="str">
        <x:v>LAYOUT-071</x:v>
      </x:c>
      <x:c r="B304" s="3" t="str">
        <x:v>Passed</x:v>
      </x:c>
      <x:c r="C304" s="3" t="str">
        <x:v>Page layouts</x:v>
      </x:c>
      <x:c r="D304" s="3" t="str">
        <x:v>/student at 1440 px</x:v>
      </x:c>
      <x:c r="E304" s="3" t="str">
        <x:v>Route-specific fixture role</x:v>
      </x:c>
      <x:c r="F304" s="3" t="str">
        <x:v>Browser with controlled API fixtures</x:v>
      </x:c>
      <x:c r="G304" s="3" t="str">
        <x:v>Run verify-application.cjs; navigate /student at 1440 px</x:v>
      </x:c>
      <x:c r="H304" s="3" t="str">
        <x:v>Controlled route fixtures; Edge browser</x:v>
      </x:c>
      <x:c r="I304" s="3" t="str">
        <x:v>Page renders without checked layout overflow/errors; role navigation assertions pass</x:v>
      </x:c>
      <x:c r="J304" s="3" t="str">
        <x:v>Passed fixture-based route/layout assertions</x:v>
      </x:c>
      <x:c r="K304" s="3" t="str"/>
      <x:c r="L304" s="3" t="str">
        <x:v>client/scripts/verify-application.cjs</x:v>
      </x:c>
      <x:c r="M304" s="3" t="str">
        <x:v>evidence/route-layout.log; evidence/layout/</x:v>
      </x:c>
      <x:c r="N304" s="10" t="str">
        <x:v>Passed</x:v>
      </x:c>
      <x:c r="O304" s="10" t="str">
        <x:v>Codex</x:v>
      </x:c>
      <x:c r="P304" s="10" t="str">
        <x:v>14 Oct 2026 — Repeated route/layout check with an appropriate role at 320, 768 and 1440 px. Controlled API fixtures.</x:v>
      </x:c>
    </x:row>
    <x:row r="305" ht="67" customHeight="1">
      <x:c r="A305" s="3" t="str">
        <x:v>LAYOUT-072</x:v>
      </x:c>
      <x:c r="B305" s="3" t="str">
        <x:v>Passed</x:v>
      </x:c>
      <x:c r="C305" s="3" t="str">
        <x:v>Page layouts</x:v>
      </x:c>
      <x:c r="D305" s="3" t="str">
        <x:v>/make-problem at 1440 px</x:v>
      </x:c>
      <x:c r="E305" s="3" t="str">
        <x:v>Route-specific fixture role</x:v>
      </x:c>
      <x:c r="F305" s="3" t="str">
        <x:v>Browser with controlled API fixtures</x:v>
      </x:c>
      <x:c r="G305" s="3" t="str">
        <x:v>Run verify-application.cjs; navigate /make-problem at 1440 px</x:v>
      </x:c>
      <x:c r="H305" s="3" t="str">
        <x:v>Controlled route fixtures; Edge browser</x:v>
      </x:c>
      <x:c r="I305" s="3" t="str">
        <x:v>Page renders without checked layout overflow/errors; role navigation assertions pass</x:v>
      </x:c>
      <x:c r="J305" s="3" t="str">
        <x:v>Passed fixture-based route/layout assertions</x:v>
      </x:c>
      <x:c r="K305" s="3" t="str"/>
      <x:c r="L305" s="3" t="str">
        <x:v>client/scripts/verify-application.cjs</x:v>
      </x:c>
      <x:c r="M305" s="3" t="str">
        <x:v>evidence/route-layout.log; evidence/layout/</x:v>
      </x:c>
      <x:c r="N305" s="10" t="str">
        <x:v>Passed</x:v>
      </x:c>
      <x:c r="O305" s="10" t="str">
        <x:v>Codex</x:v>
      </x:c>
      <x:c r="P305" s="10" t="str">
        <x:v>14 Oct 2026 — Repeated route/layout check with an appropriate role at 320, 768 and 1440 px. Controlled API fixtures.</x:v>
      </x:c>
    </x:row>
    <x:row r="306" ht="67" customHeight="1">
      <x:c r="A306" s="3" t="str">
        <x:v>LAYOUT-073</x:v>
      </x:c>
      <x:c r="B306" s="3" t="str">
        <x:v>Passed</x:v>
      </x:c>
      <x:c r="C306" s="3" t="str">
        <x:v>Page layouts</x:v>
      </x:c>
      <x:c r="D306" s="3" t="str">
        <x:v>/problems at 1440 px</x:v>
      </x:c>
      <x:c r="E306" s="3" t="str">
        <x:v>Route-specific fixture role</x:v>
      </x:c>
      <x:c r="F306" s="3" t="str">
        <x:v>Browser with controlled API fixtures</x:v>
      </x:c>
      <x:c r="G306" s="3" t="str">
        <x:v>Run verify-application.cjs; navigate /problems at 1440 px</x:v>
      </x:c>
      <x:c r="H306" s="3" t="str">
        <x:v>Controlled route fixtures; Edge browser</x:v>
      </x:c>
      <x:c r="I306" s="3" t="str">
        <x:v>Page renders without checked layout overflow/errors; role navigation assertions pass</x:v>
      </x:c>
      <x:c r="J306" s="3" t="str">
        <x:v>Passed fixture-based route/layout assertions</x:v>
      </x:c>
      <x:c r="K306" s="3" t="str"/>
      <x:c r="L306" s="3" t="str">
        <x:v>client/scripts/verify-application.cjs</x:v>
      </x:c>
      <x:c r="M306" s="3" t="str">
        <x:v>evidence/route-layout.log; evidence/layout/</x:v>
      </x:c>
      <x:c r="N306" s="10" t="str">
        <x:v>Passed</x:v>
      </x:c>
      <x:c r="O306" s="10" t="str">
        <x:v>Codex</x:v>
      </x:c>
      <x:c r="P306" s="10" t="str">
        <x:v>14 Oct 2026 — Repeated route/layout check with an appropriate role at 320, 768 and 1440 px. Controlled API fixtures.</x:v>
      </x:c>
    </x:row>
    <x:row r="307" ht="67" customHeight="1">
      <x:c r="A307" s="3" t="str">
        <x:v>LAYOUT-074</x:v>
      </x:c>
      <x:c r="B307" s="3" t="str">
        <x:v>Passed</x:v>
      </x:c>
      <x:c r="C307" s="3" t="str">
        <x:v>Page layouts</x:v>
      </x:c>
      <x:c r="D307" s="3" t="str">
        <x:v>/pending-requests at 1440 px</x:v>
      </x:c>
      <x:c r="E307" s="3" t="str">
        <x:v>Route-specific fixture role</x:v>
      </x:c>
      <x:c r="F307" s="3" t="str">
        <x:v>Browser with controlled API fixtures</x:v>
      </x:c>
      <x:c r="G307" s="3" t="str">
        <x:v>Run verify-application.cjs; navigate /pending-requests at 1440 px</x:v>
      </x:c>
      <x:c r="H307" s="3" t="str">
        <x:v>Controlled route fixtures; Edge browser</x:v>
      </x:c>
      <x:c r="I307" s="3" t="str">
        <x:v>Page renders without checked layout overflow/errors; role navigation assertions pass</x:v>
      </x:c>
      <x:c r="J307" s="3" t="str">
        <x:v>Passed fixture-based route/layout assertions</x:v>
      </x:c>
      <x:c r="K307" s="3" t="str"/>
      <x:c r="L307" s="3" t="str">
        <x:v>client/scripts/verify-application.cjs</x:v>
      </x:c>
      <x:c r="M307" s="3" t="str">
        <x:v>evidence/route-layout.log; evidence/layout/</x:v>
      </x:c>
      <x:c r="N307" s="10" t="str">
        <x:v>Passed</x:v>
      </x:c>
      <x:c r="O307" s="10" t="str">
        <x:v>Codex</x:v>
      </x:c>
      <x:c r="P307" s="10" t="str">
        <x:v>14 Oct 2026 — Repeated route/layout check with an appropriate role at 320, 768 and 1440 px. Controlled API fixtures.</x:v>
      </x:c>
    </x:row>
    <x:row r="308" ht="67" customHeight="1">
      <x:c r="A308" s="3" t="str">
        <x:v>LAYOUT-075</x:v>
      </x:c>
      <x:c r="B308" s="3" t="str">
        <x:v>Passed</x:v>
      </x:c>
      <x:c r="C308" s="3" t="str">
        <x:v>Page layouts</x:v>
      </x:c>
      <x:c r="D308" s="3" t="str">
        <x:v>/faculty-section at 1440 px</x:v>
      </x:c>
      <x:c r="E308" s="3" t="str">
        <x:v>Route-specific fixture role</x:v>
      </x:c>
      <x:c r="F308" s="3" t="str">
        <x:v>Browser with controlled API fixtures</x:v>
      </x:c>
      <x:c r="G308" s="3" t="str">
        <x:v>Run verify-application.cjs; navigate /faculty-section at 1440 px</x:v>
      </x:c>
      <x:c r="H308" s="3" t="str">
        <x:v>Controlled route fixtures; Edge browser</x:v>
      </x:c>
      <x:c r="I308" s="3" t="str">
        <x:v>Page renders without checked layout overflow/errors; role navigation assertions pass</x:v>
      </x:c>
      <x:c r="J308" s="3" t="str">
        <x:v>Passed fixture-based route/layout assertions</x:v>
      </x:c>
      <x:c r="K308" s="3" t="str"/>
      <x:c r="L308" s="3" t="str">
        <x:v>client/scripts/verify-application.cjs</x:v>
      </x:c>
      <x:c r="M308" s="3" t="str">
        <x:v>evidence/route-layout.log; evidence/layout/</x:v>
      </x:c>
      <x:c r="N308" s="10" t="str">
        <x:v>Passed</x:v>
      </x:c>
      <x:c r="O308" s="10" t="str">
        <x:v>Codex</x:v>
      </x:c>
      <x:c r="P308" s="10" t="str">
        <x:v>14 Oct 2026 — Repeated route/layout check with an appropriate role at 320, 768 and 1440 px. Controlled API fixtures.</x:v>
      </x:c>
    </x:row>
    <x:row r="309" ht="67" customHeight="1">
      <x:c r="A309" s="3" t="str">
        <x:v>LAYOUT-076</x:v>
      </x:c>
      <x:c r="B309" s="3" t="str">
        <x:v>Passed</x:v>
      </x:c>
      <x:c r="C309" s="3" t="str">
        <x:v>Page layouts</x:v>
      </x:c>
      <x:c r="D309" s="3" t="str">
        <x:v>/problem-form at 1440 px</x:v>
      </x:c>
      <x:c r="E309" s="3" t="str">
        <x:v>Route-specific fixture role</x:v>
      </x:c>
      <x:c r="F309" s="3" t="str">
        <x:v>Browser with controlled API fixtures</x:v>
      </x:c>
      <x:c r="G309" s="3" t="str">
        <x:v>Run verify-application.cjs; navigate /problem-form at 1440 px</x:v>
      </x:c>
      <x:c r="H309" s="3" t="str">
        <x:v>Controlled route fixtures; Edge browser</x:v>
      </x:c>
      <x:c r="I309" s="3" t="str">
        <x:v>Page renders without checked layout overflow/errors; role navigation assertions pass</x:v>
      </x:c>
      <x:c r="J309" s="3" t="str">
        <x:v>Passed fixture-based route/layout assertions</x:v>
      </x:c>
      <x:c r="K309" s="3" t="str"/>
      <x:c r="L309" s="3" t="str">
        <x:v>client/scripts/verify-application.cjs</x:v>
      </x:c>
      <x:c r="M309" s="3" t="str">
        <x:v>evidence/route-layout.log; evidence/layout/</x:v>
      </x:c>
      <x:c r="N309" s="10" t="str">
        <x:v>Passed</x:v>
      </x:c>
      <x:c r="O309" s="10" t="str">
        <x:v>Codex</x:v>
      </x:c>
      <x:c r="P309" s="10" t="str">
        <x:v>14 Oct 2026 — Repeated route/layout check with an appropriate role at 320, 768 and 1440 px. Controlled API fixtures.</x:v>
      </x:c>
    </x:row>
    <x:row r="310" ht="67" customHeight="1">
      <x:c r="A310" s="3" t="str">
        <x:v>LAYOUT-077</x:v>
      </x:c>
      <x:c r="B310" s="3" t="str">
        <x:v>Passed</x:v>
      </x:c>
      <x:c r="C310" s="3" t="str">
        <x:v>Page layouts</x:v>
      </x:c>
      <x:c r="D310" s="3" t="str">
        <x:v>/problem-form/problem-1 at 1440 px</x:v>
      </x:c>
      <x:c r="E310" s="3" t="str">
        <x:v>Route-specific fixture role</x:v>
      </x:c>
      <x:c r="F310" s="3" t="str">
        <x:v>Browser with controlled API fixtures</x:v>
      </x:c>
      <x:c r="G310" s="3" t="str">
        <x:v>Run verify-application.cjs; navigate /problem-form/problem-1 at 1440 px</x:v>
      </x:c>
      <x:c r="H310" s="3" t="str">
        <x:v>Controlled route fixtures; Edge browser</x:v>
      </x:c>
      <x:c r="I310" s="3" t="str">
        <x:v>Page renders without checked layout overflow/errors; role navigation assertions pass</x:v>
      </x:c>
      <x:c r="J310" s="3" t="str">
        <x:v>Passed fixture-based route/layout assertions</x:v>
      </x:c>
      <x:c r="K310" s="3" t="str"/>
      <x:c r="L310" s="3" t="str">
        <x:v>client/scripts/verify-application.cjs</x:v>
      </x:c>
      <x:c r="M310" s="3" t="str">
        <x:v>evidence/route-layout.log; evidence/layout/</x:v>
      </x:c>
      <x:c r="N310" s="10" t="str">
        <x:v>Passed</x:v>
      </x:c>
      <x:c r="O310" s="10" t="str">
        <x:v>Codex</x:v>
      </x:c>
      <x:c r="P310" s="10" t="str">
        <x:v>14 Oct 2026 — Repeated route/layout check with an appropriate role at 320, 768 and 1440 px. Controlled API fixtures.</x:v>
      </x:c>
    </x:row>
    <x:row r="311" ht="67" customHeight="1">
      <x:c r="A311" s="3" t="str">
        <x:v>LAYOUT-078</x:v>
      </x:c>
      <x:c r="B311" s="3" t="str">
        <x:v>Passed</x:v>
      </x:c>
      <x:c r="C311" s="3" t="str">
        <x:v>Page layouts</x:v>
      </x:c>
      <x:c r="D311" s="3" t="str">
        <x:v>/problems/problem-1 at 1440 px</x:v>
      </x:c>
      <x:c r="E311" s="3" t="str">
        <x:v>Route-specific fixture role</x:v>
      </x:c>
      <x:c r="F311" s="3" t="str">
        <x:v>Browser with controlled API fixtures</x:v>
      </x:c>
      <x:c r="G311" s="3" t="str">
        <x:v>Run verify-application.cjs; navigate /problems/problem-1 at 1440 px</x:v>
      </x:c>
      <x:c r="H311" s="3" t="str">
        <x:v>Controlled route fixtures; Edge browser</x:v>
      </x:c>
      <x:c r="I311" s="3" t="str">
        <x:v>Page renders without checked layout overflow/errors; role navigation assertions pass</x:v>
      </x:c>
      <x:c r="J311" s="3" t="str">
        <x:v>Passed fixture-based route/layout assertions</x:v>
      </x:c>
      <x:c r="K311" s="3" t="str"/>
      <x:c r="L311" s="3" t="str">
        <x:v>client/scripts/verify-application.cjs</x:v>
      </x:c>
      <x:c r="M311" s="3" t="str">
        <x:v>evidence/route-layout.log; evidence/layout/</x:v>
      </x:c>
      <x:c r="N311" s="10" t="str">
        <x:v>Passed</x:v>
      </x:c>
      <x:c r="O311" s="10" t="str">
        <x:v>Codex</x:v>
      </x:c>
      <x:c r="P311" s="10" t="str">
        <x:v>14 Oct 2026 — Repeated route/layout check with an appropriate role at 320, 768 and 1440 px. Controlled API fixtures.</x:v>
      </x:c>
    </x:row>
    <x:row r="312" ht="67" customHeight="1">
      <x:c r="A312" s="3" t="str">
        <x:v>LAYOUT-079</x:v>
      </x:c>
      <x:c r="B312" s="3" t="str">
        <x:v>Passed</x:v>
      </x:c>
      <x:c r="C312" s="3" t="str">
        <x:v>Page layouts</x:v>
      </x:c>
      <x:c r="D312" s="3" t="str">
        <x:v>/profile at 1440 px</x:v>
      </x:c>
      <x:c r="E312" s="3" t="str">
        <x:v>Route-specific fixture role</x:v>
      </x:c>
      <x:c r="F312" s="3" t="str">
        <x:v>Browser with controlled API fixtures</x:v>
      </x:c>
      <x:c r="G312" s="3" t="str">
        <x:v>Run verify-application.cjs; navigate /profile at 1440 px</x:v>
      </x:c>
      <x:c r="H312" s="3" t="str">
        <x:v>Controlled route fixtures; Edge browser</x:v>
      </x:c>
      <x:c r="I312" s="3" t="str">
        <x:v>Page renders without checked layout overflow/errors; role navigation assertions pass</x:v>
      </x:c>
      <x:c r="J312" s="3" t="str">
        <x:v>Passed fixture-based route/layout assertions</x:v>
      </x:c>
      <x:c r="K312" s="3" t="str"/>
      <x:c r="L312" s="3" t="str">
        <x:v>client/scripts/verify-application.cjs</x:v>
      </x:c>
      <x:c r="M312" s="3" t="str">
        <x:v>evidence/route-layout.log; evidence/layout/</x:v>
      </x:c>
      <x:c r="N312" s="10" t="str">
        <x:v>Passed</x:v>
      </x:c>
      <x:c r="O312" s="10" t="str">
        <x:v>Codex</x:v>
      </x:c>
      <x:c r="P312" s="10" t="str">
        <x:v>14 Oct 2026 — Repeated route/layout check with an appropriate role at 320, 768 and 1440 px. Controlled API fixtures.</x:v>
      </x:c>
    </x:row>
    <x:row r="313" ht="67" customHeight="1">
      <x:c r="A313" s="3" t="str">
        <x:v>LAYOUT-080</x:v>
      </x:c>
      <x:c r="B313" s="3" t="str">
        <x:v>Passed</x:v>
      </x:c>
      <x:c r="C313" s="3" t="str">
        <x:v>Page layouts</x:v>
      </x:c>
      <x:c r="D313" s="3" t="str">
        <x:v>/dashboard/problem-1 at 1440 px</x:v>
      </x:c>
      <x:c r="E313" s="3" t="str">
        <x:v>Route-specific fixture role</x:v>
      </x:c>
      <x:c r="F313" s="3" t="str">
        <x:v>Browser with controlled API fixtures</x:v>
      </x:c>
      <x:c r="G313" s="3" t="str">
        <x:v>Run verify-application.cjs; navigate /dashboard/problem-1 at 1440 px</x:v>
      </x:c>
      <x:c r="H313" s="3" t="str">
        <x:v>Controlled route fixtures; Edge browser</x:v>
      </x:c>
      <x:c r="I313" s="3" t="str">
        <x:v>Page renders without checked layout overflow/errors; role navigation assertions pass</x:v>
      </x:c>
      <x:c r="J313" s="3" t="str">
        <x:v>Passed fixture-based route/layout assertions</x:v>
      </x:c>
      <x:c r="K313" s="3" t="str"/>
      <x:c r="L313" s="3" t="str">
        <x:v>client/scripts/verify-application.cjs</x:v>
      </x:c>
      <x:c r="M313" s="3" t="str">
        <x:v>evidence/route-layout.log; evidence/layout/</x:v>
      </x:c>
      <x:c r="N313" s="10" t="str">
        <x:v>Passed</x:v>
      </x:c>
      <x:c r="O313" s="10" t="str">
        <x:v>Codex</x:v>
      </x:c>
      <x:c r="P313" s="10" t="str">
        <x:v>14 Oct 2026 — Repeated route/layout check with an appropriate role at 320, 768 and 1440 px. Controlled API fixtures.</x:v>
      </x:c>
    </x:row>
    <x:row r="314" ht="67" customHeight="1">
      <x:c r="A314" s="3" t="str">
        <x:v>LAYOUT-081</x:v>
      </x:c>
      <x:c r="B314" s="3" t="str">
        <x:v>Passed</x:v>
      </x:c>
      <x:c r="C314" s="3" t="str">
        <x:v>Page layouts</x:v>
      </x:c>
      <x:c r="D314" s="3" t="str">
        <x:v>/history at 1440 px</x:v>
      </x:c>
      <x:c r="E314" s="3" t="str">
        <x:v>Route-specific fixture role</x:v>
      </x:c>
      <x:c r="F314" s="3" t="str">
        <x:v>Browser with controlled API fixtures</x:v>
      </x:c>
      <x:c r="G314" s="3" t="str">
        <x:v>Run verify-application.cjs; navigate /history at 1440 px</x:v>
      </x:c>
      <x:c r="H314" s="3" t="str">
        <x:v>Controlled route fixtures; Edge browser</x:v>
      </x:c>
      <x:c r="I314" s="3" t="str">
        <x:v>Page renders without checked layout overflow/errors; role navigation assertions pass</x:v>
      </x:c>
      <x:c r="J314" s="3" t="str">
        <x:v>Passed fixture-based route/layout assertions</x:v>
      </x:c>
      <x:c r="K314" s="3" t="str"/>
      <x:c r="L314" s="3" t="str">
        <x:v>client/scripts/verify-application.cjs</x:v>
      </x:c>
      <x:c r="M314" s="3" t="str">
        <x:v>evidence/route-layout.log; evidence/layout/</x:v>
      </x:c>
      <x:c r="N314" s="10" t="str">
        <x:v>Passed</x:v>
      </x:c>
      <x:c r="O314" s="10" t="str">
        <x:v>Codex</x:v>
      </x:c>
      <x:c r="P314" s="10" t="str">
        <x:v>14 Oct 2026 — Repeated route/layout check with an appropriate role at 320, 768 and 1440 px. Controlled API fixtures.</x:v>
      </x:c>
    </x:row>
    <x:row r="315" ht="67" customHeight="1">
      <x:c r="A315" s="3" t="str">
        <x:v>LAYOUT-082</x:v>
      </x:c>
      <x:c r="B315" s="3" t="str">
        <x:v>Passed</x:v>
      </x:c>
      <x:c r="C315" s="3" t="str">
        <x:v>Page layouts</x:v>
      </x:c>
      <x:c r="D315" s="3" t="str">
        <x:v>/add-student-using-file at 1440 px</x:v>
      </x:c>
      <x:c r="E315" s="3" t="str">
        <x:v>Route-specific fixture role</x:v>
      </x:c>
      <x:c r="F315" s="3" t="str">
        <x:v>Browser with controlled API fixtures</x:v>
      </x:c>
      <x:c r="G315" s="3" t="str">
        <x:v>Run verify-application.cjs; navigate /add-student-using-file at 1440 px</x:v>
      </x:c>
      <x:c r="H315" s="3" t="str">
        <x:v>Controlled route fixtures; Edge browser</x:v>
      </x:c>
      <x:c r="I315" s="3" t="str">
        <x:v>Page renders without checked layout overflow/errors; role navigation assertions pass</x:v>
      </x:c>
      <x:c r="J315" s="3" t="str">
        <x:v>Passed fixture-based route/layout assertions</x:v>
      </x:c>
      <x:c r="K315" s="3" t="str"/>
      <x:c r="L315" s="3" t="str">
        <x:v>client/scripts/verify-application.cjs</x:v>
      </x:c>
      <x:c r="M315" s="3" t="str">
        <x:v>evidence/route-layout.log; evidence/layout/</x:v>
      </x:c>
      <x:c r="N315" s="10" t="str">
        <x:v>Passed</x:v>
      </x:c>
      <x:c r="O315" s="10" t="str">
        <x:v>Codex</x:v>
      </x:c>
      <x:c r="P315" s="10" t="str">
        <x:v>14 Oct 2026 — Repeated route/layout check with an appropriate role at 320, 768 and 1440 px. Controlled API fixtures.</x:v>
      </x:c>
    </x:row>
    <x:row r="316" ht="67" customHeight="1">
      <x:c r="A316" s="3" t="str">
        <x:v>LAYOUT-083</x:v>
      </x:c>
      <x:c r="B316" s="3" t="str">
        <x:v>Passed</x:v>
      </x:c>
      <x:c r="C316" s="3" t="str">
        <x:v>Page layouts</x:v>
      </x:c>
      <x:c r="D316" s="3" t="str">
        <x:v>/registerStudent at 1440 px</x:v>
      </x:c>
      <x:c r="E316" s="3" t="str">
        <x:v>Route-specific fixture role</x:v>
      </x:c>
      <x:c r="F316" s="3" t="str">
        <x:v>Browser with controlled API fixtures</x:v>
      </x:c>
      <x:c r="G316" s="3" t="str">
        <x:v>Run verify-application.cjs; navigate /registerStudent at 1440 px</x:v>
      </x:c>
      <x:c r="H316" s="3" t="str">
        <x:v>Controlled route fixtures; Edge browser</x:v>
      </x:c>
      <x:c r="I316" s="3" t="str">
        <x:v>Page renders without checked layout overflow/errors; role navigation assertions pass</x:v>
      </x:c>
      <x:c r="J316" s="3" t="str">
        <x:v>Passed fixture-based route/layout assertions</x:v>
      </x:c>
      <x:c r="K316" s="3" t="str"/>
      <x:c r="L316" s="3" t="str">
        <x:v>client/scripts/verify-application.cjs</x:v>
      </x:c>
      <x:c r="M316" s="3" t="str">
        <x:v>evidence/route-layout.log; evidence/layout/</x:v>
      </x:c>
      <x:c r="N316" s="10" t="str">
        <x:v>Passed</x:v>
      </x:c>
      <x:c r="O316" s="10" t="str">
        <x:v>Codex</x:v>
      </x:c>
      <x:c r="P316" s="10" t="str">
        <x:v>14 Oct 2026 — Repeated route/layout check with an appropriate role at 320, 768 and 1440 px. Controlled API fixtures.</x:v>
      </x:c>
    </x:row>
    <x:row r="317" ht="67" customHeight="1">
      <x:c r="A317" s="3" t="str">
        <x:v>LAYOUT-084</x:v>
      </x:c>
      <x:c r="B317" s="3" t="str">
        <x:v>Passed</x:v>
      </x:c>
      <x:c r="C317" s="3" t="str">
        <x:v>Page layouts</x:v>
      </x:c>
      <x:c r="D317" s="3" t="str">
        <x:v>/registerFaculty at 1440 px</x:v>
      </x:c>
      <x:c r="E317" s="3" t="str">
        <x:v>Route-specific fixture role</x:v>
      </x:c>
      <x:c r="F317" s="3" t="str">
        <x:v>Browser with controlled API fixtures</x:v>
      </x:c>
      <x:c r="G317" s="3" t="str">
        <x:v>Run verify-application.cjs; navigate /registerFaculty at 1440 px</x:v>
      </x:c>
      <x:c r="H317" s="3" t="str">
        <x:v>Controlled route fixtures; Edge browser</x:v>
      </x:c>
      <x:c r="I317" s="3" t="str">
        <x:v>Page renders without checked layout overflow/errors; role navigation assertions pass</x:v>
      </x:c>
      <x:c r="J317" s="3" t="str">
        <x:v>Passed fixture-based route/layout assertions</x:v>
      </x:c>
      <x:c r="K317" s="3" t="str"/>
      <x:c r="L317" s="3" t="str">
        <x:v>client/scripts/verify-application.cjs</x:v>
      </x:c>
      <x:c r="M317" s="3" t="str">
        <x:v>evidence/route-layout.log; evidence/layout/</x:v>
      </x:c>
      <x:c r="N317" s="10" t="str">
        <x:v>Passed</x:v>
      </x:c>
      <x:c r="O317" s="10" t="str">
        <x:v>Codex</x:v>
      </x:c>
      <x:c r="P317" s="10" t="str">
        <x:v>14 Oct 2026 — Repeated route/layout check with an appropriate role at 320, 768 and 1440 px. Controlled API fixtures.</x:v>
      </x:c>
    </x:row>
    <x:row r="318" ht="67" customHeight="1">
      <x:c r="A318" s="3" t="str">
        <x:v>LAYOUT-085</x:v>
      </x:c>
      <x:c r="B318" s="3" t="str">
        <x:v>Passed</x:v>
      </x:c>
      <x:c r="C318" s="3" t="str">
        <x:v>Page layouts</x:v>
      </x:c>
      <x:c r="D318" s="3" t="str">
        <x:v>/students/teacher-1 at 1440 px</x:v>
      </x:c>
      <x:c r="E318" s="3" t="str">
        <x:v>Route-specific fixture role</x:v>
      </x:c>
      <x:c r="F318" s="3" t="str">
        <x:v>Browser with controlled API fixtures</x:v>
      </x:c>
      <x:c r="G318" s="3" t="str">
        <x:v>Run verify-application.cjs; navigate /students/teacher-1 at 1440 px</x:v>
      </x:c>
      <x:c r="H318" s="3" t="str">
        <x:v>Controlled route fixtures; Edge browser</x:v>
      </x:c>
      <x:c r="I318" s="3" t="str">
        <x:v>Page renders without checked layout overflow/errors; role navigation assertions pass</x:v>
      </x:c>
      <x:c r="J318" s="3" t="str">
        <x:v>Passed fixture-based route/layout assertions</x:v>
      </x:c>
      <x:c r="K318" s="3" t="str"/>
      <x:c r="L318" s="3" t="str">
        <x:v>client/scripts/verify-application.cjs</x:v>
      </x:c>
      <x:c r="M318" s="3" t="str">
        <x:v>evidence/route-layout.log; evidence/layout/</x:v>
      </x:c>
      <x:c r="N318" s="10" t="str">
        <x:v>Passed</x:v>
      </x:c>
      <x:c r="O318" s="10" t="str">
        <x:v>Codex</x:v>
      </x:c>
      <x:c r="P318" s="10" t="str">
        <x:v>14 Oct 2026 — Repeated route/layout check with an appropriate role at 320, 768 and 1440 px. Controlled API fixtures.</x:v>
      </x:c>
    </x:row>
    <x:row r="319" ht="67" customHeight="1">
      <x:c r="A319" s="3" t="str">
        <x:v>LAYOUT-086</x:v>
      </x:c>
      <x:c r="B319" s="3" t="str">
        <x:v>Passed</x:v>
      </x:c>
      <x:c r="C319" s="3" t="str">
        <x:v>Page layouts</x:v>
      </x:c>
      <x:c r="D319" s="3" t="str">
        <x:v>/assignProblem/problem-1 at 1440 px</x:v>
      </x:c>
      <x:c r="E319" s="3" t="str">
        <x:v>Route-specific fixture role</x:v>
      </x:c>
      <x:c r="F319" s="3" t="str">
        <x:v>Browser with controlled API fixtures</x:v>
      </x:c>
      <x:c r="G319" s="3" t="str">
        <x:v>Run verify-application.cjs; navigate /assignProblem/problem-1 at 1440 px</x:v>
      </x:c>
      <x:c r="H319" s="3" t="str">
        <x:v>Controlled route fixtures; Edge browser</x:v>
      </x:c>
      <x:c r="I319" s="3" t="str">
        <x:v>Page renders without checked layout overflow/errors; role navigation assertions pass</x:v>
      </x:c>
      <x:c r="J319" s="3" t="str">
        <x:v>Passed fixture-based route/layout assertions</x:v>
      </x:c>
      <x:c r="K319" s="3" t="str"/>
      <x:c r="L319" s="3" t="str">
        <x:v>client/scripts/verify-application.cjs</x:v>
      </x:c>
      <x:c r="M319" s="3" t="str">
        <x:v>evidence/route-layout.log; evidence/layout/</x:v>
      </x:c>
      <x:c r="N319" s="10" t="str">
        <x:v>Passed</x:v>
      </x:c>
      <x:c r="O319" s="10" t="str">
        <x:v>Codex</x:v>
      </x:c>
      <x:c r="P319" s="10" t="str">
        <x:v>14 Oct 2026 — Repeated route/layout check with an appropriate role at 320, 768 and 1440 px. Controlled API fixtures.</x:v>
      </x:c>
    </x:row>
    <x:row r="320" ht="67" customHeight="1">
      <x:c r="A320" s="3" t="str">
        <x:v>LAYOUT-087</x:v>
      </x:c>
      <x:c r="B320" s="3" t="str">
        <x:v>Passed</x:v>
      </x:c>
      <x:c r="C320" s="3" t="str">
        <x:v>Page layouts</x:v>
      </x:c>
      <x:c r="D320" s="3" t="str">
        <x:v>/assignedStudents/problem-1 at 1440 px</x:v>
      </x:c>
      <x:c r="E320" s="3" t="str">
        <x:v>Route-specific fixture role</x:v>
      </x:c>
      <x:c r="F320" s="3" t="str">
        <x:v>Browser with controlled API fixtures</x:v>
      </x:c>
      <x:c r="G320" s="3" t="str">
        <x:v>Run verify-application.cjs; navigate /assignedStudents/problem-1 at 1440 px</x:v>
      </x:c>
      <x:c r="H320" s="3" t="str">
        <x:v>Controlled route fixtures; Edge browser</x:v>
      </x:c>
      <x:c r="I320" s="3" t="str">
        <x:v>Page renders without checked layout overflow/errors; role navigation assertions pass</x:v>
      </x:c>
      <x:c r="J320" s="3" t="str">
        <x:v>Passed fixture-based route/layout assertions</x:v>
      </x:c>
      <x:c r="K320" s="3" t="str"/>
      <x:c r="L320" s="3" t="str">
        <x:v>client/scripts/verify-application.cjs</x:v>
      </x:c>
      <x:c r="M320" s="3" t="str">
        <x:v>evidence/route-layout.log; evidence/layout/</x:v>
      </x:c>
      <x:c r="N320" s="10" t="str">
        <x:v>Passed</x:v>
      </x:c>
      <x:c r="O320" s="10" t="str">
        <x:v>Codex</x:v>
      </x:c>
      <x:c r="P320" s="10" t="str">
        <x:v>14 Oct 2026 — Repeated route/layout check with an appropriate role at 320, 768 and 1440 px. Controlled API fixtures.</x:v>
      </x:c>
    </x:row>
    <x:row r="321" ht="67" customHeight="1">
      <x:c r="A321" s="3" t="str">
        <x:v>LAYOUT-088</x:v>
      </x:c>
      <x:c r="B321" s="3" t="str">
        <x:v>Passed</x:v>
      </x:c>
      <x:c r="C321" s="3" t="str">
        <x:v>Page layouts</x:v>
      </x:c>
      <x:c r="D321" s="3" t="str">
        <x:v>/studentinformation at 1440 px</x:v>
      </x:c>
      <x:c r="E321" s="3" t="str">
        <x:v>Route-specific fixture role</x:v>
      </x:c>
      <x:c r="F321" s="3" t="str">
        <x:v>Browser with controlled API fixtures</x:v>
      </x:c>
      <x:c r="G321" s="3" t="str">
        <x:v>Run verify-application.cjs; navigate /studentinformation at 1440 px</x:v>
      </x:c>
      <x:c r="H321" s="3" t="str">
        <x:v>Controlled route fixtures; Edge browser</x:v>
      </x:c>
      <x:c r="I321" s="3" t="str">
        <x:v>Page renders without checked layout overflow/errors; role navigation assertions pass</x:v>
      </x:c>
      <x:c r="J321" s="3" t="str">
        <x:v>Passed fixture-based route/layout assertions</x:v>
      </x:c>
      <x:c r="K321" s="3" t="str"/>
      <x:c r="L321" s="3" t="str">
        <x:v>client/scripts/verify-application.cjs</x:v>
      </x:c>
      <x:c r="M321" s="3" t="str">
        <x:v>evidence/route-layout.log; evidence/layout/</x:v>
      </x:c>
      <x:c r="N321" s="10" t="str">
        <x:v>Passed</x:v>
      </x:c>
      <x:c r="O321" s="10" t="str">
        <x:v>Codex</x:v>
      </x:c>
      <x:c r="P321" s="10" t="str">
        <x:v>14 Oct 2026 — Repeated route/layout check with an appropriate role at 320, 768 and 1440 px. Controlled API fixtures.</x:v>
      </x:c>
    </x:row>
    <x:row r="322" ht="67" customHeight="1">
      <x:c r="A322" s="3" t="str">
        <x:v>LAYOUT-089</x:v>
      </x:c>
      <x:c r="B322" s="3" t="str">
        <x:v>Passed</x:v>
      </x:c>
      <x:c r="C322" s="3" t="str">
        <x:v>Page layouts</x:v>
      </x:c>
      <x:c r="D322" s="3" t="str">
        <x:v>/submissions/submission-1 at 1440 px</x:v>
      </x:c>
      <x:c r="E322" s="3" t="str">
        <x:v>Route-specific fixture role</x:v>
      </x:c>
      <x:c r="F322" s="3" t="str">
        <x:v>Browser with controlled API fixtures</x:v>
      </x:c>
      <x:c r="G322" s="3" t="str">
        <x:v>Run verify-application.cjs; navigate /submissions/submission-1 at 1440 px</x:v>
      </x:c>
      <x:c r="H322" s="3" t="str">
        <x:v>Controlled route fixtures; Edge browser</x:v>
      </x:c>
      <x:c r="I322" s="3" t="str">
        <x:v>Page renders without checked layout overflow/errors; role navigation assertions pass</x:v>
      </x:c>
      <x:c r="J322" s="3" t="str">
        <x:v>Passed fixture-based route/layout assertions</x:v>
      </x:c>
      <x:c r="K322" s="3" t="str"/>
      <x:c r="L322" s="3" t="str">
        <x:v>client/scripts/verify-application.cjs</x:v>
      </x:c>
      <x:c r="M322" s="3" t="str">
        <x:v>evidence/route-layout.log; evidence/layout/</x:v>
      </x:c>
      <x:c r="N322" s="10" t="str">
        <x:v>Passed</x:v>
      </x:c>
      <x:c r="O322" s="10" t="str">
        <x:v>Codex</x:v>
      </x:c>
      <x:c r="P322" s="10" t="str">
        <x:v>14 Oct 2026 — Repeated route/layout check with an appropriate role at 320, 768 and 1440 px. Controlled API fixtures.</x:v>
      </x:c>
    </x:row>
    <x:row r="323" ht="67" customHeight="1">
      <x:c r="A323" s="3" t="str">
        <x:v>LAYOUT-090</x:v>
      </x:c>
      <x:c r="B323" s="3" t="str">
        <x:v>Passed</x:v>
      </x:c>
      <x:c r="C323" s="3" t="str">
        <x:v>Page layouts</x:v>
      </x:c>
      <x:c r="D323" s="3" t="str">
        <x:v>/assignContestToStudents/contest-1 at 1440 px</x:v>
      </x:c>
      <x:c r="E323" s="3" t="str">
        <x:v>Route-specific fixture role</x:v>
      </x:c>
      <x:c r="F323" s="3" t="str">
        <x:v>Browser with controlled API fixtures</x:v>
      </x:c>
      <x:c r="G323" s="3" t="str">
        <x:v>Run verify-application.cjs; navigate /assignContestToStudents/contest-1 at 1440 px</x:v>
      </x:c>
      <x:c r="H323" s="3" t="str">
        <x:v>Controlled route fixtures; Edge browser</x:v>
      </x:c>
      <x:c r="I323" s="3" t="str">
        <x:v>Page renders without checked layout overflow/errors; role navigation assertions pass</x:v>
      </x:c>
      <x:c r="J323" s="3" t="str">
        <x:v>Passed fixture-based route/layout assertions</x:v>
      </x:c>
      <x:c r="K323" s="3" t="str"/>
      <x:c r="L323" s="3" t="str">
        <x:v>client/scripts/verify-application.cjs</x:v>
      </x:c>
      <x:c r="M323" s="3" t="str">
        <x:v>evidence/route-layout.log; evidence/layout/</x:v>
      </x:c>
      <x:c r="N323" s="10" t="str">
        <x:v>Passed</x:v>
      </x:c>
      <x:c r="O323" s="10" t="str">
        <x:v>Codex</x:v>
      </x:c>
      <x:c r="P323" s="10" t="str">
        <x:v>14 Oct 2026 — Repeated route/layout check with an appropriate role at 320, 768 and 1440 px. Controlled API fixtures.</x:v>
      </x:c>
    </x:row>
    <x:row r="324" ht="67" customHeight="1">
      <x:c r="A324" s="3" t="str">
        <x:v>LAYOUT-091</x:v>
      </x:c>
      <x:c r="B324" s="3" t="str">
        <x:v>Passed</x:v>
      </x:c>
      <x:c r="C324" s="3" t="str">
        <x:v>Page layouts</x:v>
      </x:c>
      <x:c r="D324" s="3" t="str">
        <x:v>/unassignContestToStudents/contest-1 at 1440 px</x:v>
      </x:c>
      <x:c r="E324" s="3" t="str">
        <x:v>Route-specific fixture role</x:v>
      </x:c>
      <x:c r="F324" s="3" t="str">
        <x:v>Browser with controlled API fixtures</x:v>
      </x:c>
      <x:c r="G324" s="3" t="str">
        <x:v>Run verify-application.cjs; navigate /unassignContestToStudents/contest-1 at 1440 px</x:v>
      </x:c>
      <x:c r="H324" s="3" t="str">
        <x:v>Controlled route fixtures; Edge browser</x:v>
      </x:c>
      <x:c r="I324" s="3" t="str">
        <x:v>Page renders without checked layout overflow/errors; role navigation assertions pass</x:v>
      </x:c>
      <x:c r="J324" s="3" t="str">
        <x:v>Passed fixture-based route/layout assertions</x:v>
      </x:c>
      <x:c r="K324" s="3" t="str"/>
      <x:c r="L324" s="3" t="str">
        <x:v>client/scripts/verify-application.cjs</x:v>
      </x:c>
      <x:c r="M324" s="3" t="str">
        <x:v>evidence/route-layout.log; evidence/layout/</x:v>
      </x:c>
      <x:c r="N324" s="10" t="str">
        <x:v>Passed</x:v>
      </x:c>
      <x:c r="O324" s="10" t="str">
        <x:v>Codex</x:v>
      </x:c>
      <x:c r="P324" s="10" t="str">
        <x:v>14 Oct 2026 — Repeated route/layout check with an appropriate role at 320, 768 and 1440 px. Controlled API fixtures.</x:v>
      </x:c>
    </x:row>
    <x:row r="325" ht="67" customHeight="1">
      <x:c r="A325" s="3" t="str">
        <x:v>LAYOUT-092</x:v>
      </x:c>
      <x:c r="B325" s="3" t="str">
        <x:v>Passed</x:v>
      </x:c>
      <x:c r="C325" s="3" t="str">
        <x:v>Page layouts</x:v>
      </x:c>
      <x:c r="D325" s="3" t="str">
        <x:v>/duplicate at 1440 px</x:v>
      </x:c>
      <x:c r="E325" s="3" t="str">
        <x:v>Route-specific fixture role</x:v>
      </x:c>
      <x:c r="F325" s="3" t="str">
        <x:v>Browser with controlled API fixtures</x:v>
      </x:c>
      <x:c r="G325" s="3" t="str">
        <x:v>Run verify-application.cjs; navigate /duplicate at 1440 px</x:v>
      </x:c>
      <x:c r="H325" s="3" t="str">
        <x:v>Controlled route fixtures; Edge browser</x:v>
      </x:c>
      <x:c r="I325" s="3" t="str">
        <x:v>Page renders without checked layout overflow/errors; role navigation assertions pass</x:v>
      </x:c>
      <x:c r="J325" s="3" t="str">
        <x:v>Passed fixture-based route/layout assertions</x:v>
      </x:c>
      <x:c r="K325" s="3" t="str"/>
      <x:c r="L325" s="3" t="str">
        <x:v>client/scripts/verify-application.cjs</x:v>
      </x:c>
      <x:c r="M325" s="3" t="str">
        <x:v>evidence/route-layout.log; evidence/layout/</x:v>
      </x:c>
      <x:c r="N325" s="10" t="str">
        <x:v>Passed</x:v>
      </x:c>
      <x:c r="O325" s="10" t="str">
        <x:v>Codex</x:v>
      </x:c>
      <x:c r="P325" s="10" t="str">
        <x:v>14 Oct 2026 — Repeated route/layout check with an appropriate role at 320, 768 and 1440 px. Controlled API fixtures.</x:v>
      </x:c>
    </x:row>
    <x:row r="326" ht="67" customHeight="1">
      <x:c r="A326" s="3" t="str">
        <x:v>LAYOUT-093</x:v>
      </x:c>
      <x:c r="B326" s="3" t="str">
        <x:v>Passed</x:v>
      </x:c>
      <x:c r="C326" s="3" t="str">
        <x:v>Page layouts</x:v>
      </x:c>
      <x:c r="D326" s="3" t="str">
        <x:v>/contests/contest-1 at 1440 px</x:v>
      </x:c>
      <x:c r="E326" s="3" t="str">
        <x:v>Route-specific fixture role</x:v>
      </x:c>
      <x:c r="F326" s="3" t="str">
        <x:v>Browser with controlled API fixtures</x:v>
      </x:c>
      <x:c r="G326" s="3" t="str">
        <x:v>Run verify-application.cjs; navigate /contests/contest-1 at 1440 px</x:v>
      </x:c>
      <x:c r="H326" s="3" t="str">
        <x:v>Controlled route fixtures; Edge browser</x:v>
      </x:c>
      <x:c r="I326" s="3" t="str">
        <x:v>Page renders without checked layout overflow/errors; role navigation assertions pass</x:v>
      </x:c>
      <x:c r="J326" s="3" t="str">
        <x:v>Passed fixture-based route/layout assertions</x:v>
      </x:c>
      <x:c r="K326" s="3" t="str"/>
      <x:c r="L326" s="3" t="str">
        <x:v>client/scripts/verify-application.cjs</x:v>
      </x:c>
      <x:c r="M326" s="3" t="str">
        <x:v>evidence/route-layout.log; evidence/layout/</x:v>
      </x:c>
      <x:c r="N326" s="10" t="str">
        <x:v>Passed</x:v>
      </x:c>
      <x:c r="O326" s="10" t="str">
        <x:v>Codex</x:v>
      </x:c>
      <x:c r="P326" s="10" t="str">
        <x:v>14 Oct 2026 — Repeated route/layout check with an appropriate role at 320, 768 and 1440 px. Controlled API fixtures.</x:v>
      </x:c>
    </x:row>
    <x:row r="327" ht="67" customHeight="1">
      <x:c r="A327" s="3" t="str">
        <x:v>LAYOUT-094</x:v>
      </x:c>
      <x:c r="B327" s="3" t="str">
        <x:v>Passed</x:v>
      </x:c>
      <x:c r="C327" s="3" t="str">
        <x:v>Page layouts</x:v>
      </x:c>
      <x:c r="D327" s="3" t="str">
        <x:v>/contests/contest-1/dashboard at 1440 px</x:v>
      </x:c>
      <x:c r="E327" s="3" t="str">
        <x:v>Route-specific fixture role</x:v>
      </x:c>
      <x:c r="F327" s="3" t="str">
        <x:v>Browser with controlled API fixtures</x:v>
      </x:c>
      <x:c r="G327" s="3" t="str">
        <x:v>Run verify-application.cjs; navigate /contests/contest-1/dashboard at 1440 px</x:v>
      </x:c>
      <x:c r="H327" s="3" t="str">
        <x:v>Controlled route fixtures; Edge browser</x:v>
      </x:c>
      <x:c r="I327" s="3" t="str">
        <x:v>Page renders without checked layout overflow/errors; role navigation assertions pass</x:v>
      </x:c>
      <x:c r="J327" s="3" t="str">
        <x:v>Passed fixture-based route/layout assertions</x:v>
      </x:c>
      <x:c r="K327" s="3" t="str"/>
      <x:c r="L327" s="3" t="str">
        <x:v>client/scripts/verify-application.cjs</x:v>
      </x:c>
      <x:c r="M327" s="3" t="str">
        <x:v>evidence/route-layout.log; evidence/layout/</x:v>
      </x:c>
      <x:c r="N327" s="10" t="str">
        <x:v>Passed</x:v>
      </x:c>
      <x:c r="O327" s="10" t="str">
        <x:v>Codex</x:v>
      </x:c>
      <x:c r="P327" s="10" t="str">
        <x:v>14 Oct 2026 — Repeated route/layout check with an appropriate role at 320, 768 and 1440 px. Controlled API fixtures.</x:v>
      </x:c>
    </x:row>
    <x:row r="328" ht="67" customHeight="1">
      <x:c r="A328" s="3" t="str">
        <x:v>LAYOUT-095</x:v>
      </x:c>
      <x:c r="B328" s="3" t="str">
        <x:v>Passed</x:v>
      </x:c>
      <x:c r="C328" s="3" t="str">
        <x:v>Page layouts</x:v>
      </x:c>
      <x:c r="D328" s="3" t="str">
        <x:v>/session-management at 1440 px</x:v>
      </x:c>
      <x:c r="E328" s="3" t="str">
        <x:v>Route-specific fixture role</x:v>
      </x:c>
      <x:c r="F328" s="3" t="str">
        <x:v>Browser with controlled API fixtures</x:v>
      </x:c>
      <x:c r="G328" s="3" t="str">
        <x:v>Run verify-application.cjs; navigate /session-management at 1440 px</x:v>
      </x:c>
      <x:c r="H328" s="3" t="str">
        <x:v>Controlled route fixtures; Edge browser</x:v>
      </x:c>
      <x:c r="I328" s="3" t="str">
        <x:v>Page renders without checked layout overflow/errors; role navigation assertions pass</x:v>
      </x:c>
      <x:c r="J328" s="3" t="str">
        <x:v>Passed fixture-based route/layout assertions</x:v>
      </x:c>
      <x:c r="K328" s="3" t="str"/>
      <x:c r="L328" s="3" t="str">
        <x:v>client/scripts/verify-application.cjs</x:v>
      </x:c>
      <x:c r="M328" s="3" t="str">
        <x:v>evidence/route-layout.log; evidence/layout/</x:v>
      </x:c>
      <x:c r="N328" s="10" t="str">
        <x:v>Passed</x:v>
      </x:c>
      <x:c r="O328" s="10" t="str">
        <x:v>Codex</x:v>
      </x:c>
      <x:c r="P328" s="10" t="str">
        <x:v>14 Oct 2026 — Repeated route/layout check with an appropriate role at 320, 768 and 1440 px. Controlled API fixtures.</x:v>
      </x:c>
    </x:row>
    <x:row r="329" ht="67" customHeight="1">
      <x:c r="A329" s="3" t="str">
        <x:v>LAYOUT-096</x:v>
      </x:c>
      <x:c r="B329" s="3" t="str">
        <x:v>Passed</x:v>
      </x:c>
      <x:c r="C329" s="3" t="str">
        <x:v>Page layouts</x:v>
      </x:c>
      <x:c r="D329" s="3" t="str">
        <x:v>/missing-page at 1440 px</x:v>
      </x:c>
      <x:c r="E329" s="3" t="str">
        <x:v>Route-specific fixture role</x:v>
      </x:c>
      <x:c r="F329" s="3" t="str">
        <x:v>Browser with controlled API fixtures</x:v>
      </x:c>
      <x:c r="G329" s="3" t="str">
        <x:v>Run verify-application.cjs; navigate /missing-page at 1440 px</x:v>
      </x:c>
      <x:c r="H329" s="3" t="str">
        <x:v>Controlled route fixtures; Edge browser</x:v>
      </x:c>
      <x:c r="I329" s="3" t="str">
        <x:v>Page renders without checked layout overflow/errors; role navigation assertions pass</x:v>
      </x:c>
      <x:c r="J329" s="3" t="str">
        <x:v>Passed fixture-based route/layout assertions</x:v>
      </x:c>
      <x:c r="K329" s="3" t="str"/>
      <x:c r="L329" s="3" t="str">
        <x:v>client/scripts/verify-application.cjs</x:v>
      </x:c>
      <x:c r="M329" s="3" t="str">
        <x:v>evidence/route-layout.log; evidence/layout/</x:v>
      </x:c>
      <x:c r="N329" s="10" t="str">
        <x:v>Passed</x:v>
      </x:c>
      <x:c r="O329" s="10" t="str">
        <x:v>Codex</x:v>
      </x:c>
      <x:c r="P329" s="10" t="str">
        <x:v>14 Oct 2026 — Repeated route/layout check with an appropriate role at 320, 768 and 1440 px. Controlled API fixtures.</x:v>
      </x:c>
    </x:row>
    <x:row r="330" ht="66" customHeight="1">
      <x:c r="A330" s="3" t="str">
        <x:v>PLAN-001</x:v>
      </x:c>
      <x:c r="B330" s="3" t="str">
        <x:v>Not run</x:v>
      </x:c>
      <x:c r="C330" s="3" t="str">
        <x:v>Authentication</x:v>
      </x:c>
      <x:c r="D330" s="3" t="str">
        <x:v>Concurrent registration of the same ID</x:v>
      </x:c>
      <x:c r="E330" s="3" t="str">
        <x:v>Guest / all roles</x:v>
      </x:c>
      <x:c r="F330" s="3" t="str">
        <x:v>Planned release verification</x:v>
      </x:c>
      <x:c r="G330" s="3" t="str">
        <x:v>Register the same ID simultaneously from two clients</x:v>
      </x:c>
      <x:c r="H330" s="3" t="str">
        <x:v>Temporary data / isolated environment; agree unspecified policy or limits first</x:v>
      </x:c>
      <x:c r="I330" s="3" t="str">
        <x:v>One account is created; the other request gets a clear duplicate error</x:v>
      </x:c>
      <x:c r="J330" s="3" t="str">
        <x:v>Not executed in this audit; this is a release checklist item</x:v>
      </x:c>
      <x:c r="K330" s="3" t="str"/>
      <x:c r="L330" s="3" t="str">
        <x:v>Audit coverage plan</x:v>
      </x:c>
      <x:c r="M330" s="3" t="str"/>
      <x:c r="N330" s="10" t="str">
        <x:v>Not run</x:v>
      </x:c>
      <x:c r="O330" s="10" t="str"/>
      <x:c r="P330" s="10" t="str"/>
    </x:row>
    <x:row r="331" ht="66" customHeight="1">
      <x:c r="A331" s="3" t="str">
        <x:v>PLAN-002</x:v>
      </x:c>
      <x:c r="B331" s="3" t="str">
        <x:v>Not run</x:v>
      </x:c>
      <x:c r="C331" s="3" t="str">
        <x:v>Authentication</x:v>
      </x:c>
      <x:c r="D331" s="3" t="str">
        <x:v>Concurrent email changes</x:v>
      </x:c>
      <x:c r="E331" s="3" t="str">
        <x:v>Guest / all roles</x:v>
      </x:c>
      <x:c r="F331" s="3" t="str">
        <x:v>Planned release verification</x:v>
      </x:c>
      <x:c r="G331" s="3" t="str">
        <x:v>Change two profiles to the same normalized email at once</x:v>
      </x:c>
      <x:c r="H331" s="3" t="str">
        <x:v>Temporary data / isolated environment; agree unspecified policy or limits first</x:v>
      </x:c>
      <x:c r="I331" s="3" t="str">
        <x:v>The agreed uniqueness rule is enforced without ambiguous login</x:v>
      </x:c>
      <x:c r="J331" s="3" t="str">
        <x:v>Not executed in this audit; this is a release checklist item</x:v>
      </x:c>
      <x:c r="K331" s="3" t="str"/>
      <x:c r="L331" s="3" t="str">
        <x:v>Audit coverage plan</x:v>
      </x:c>
      <x:c r="M331" s="3" t="str"/>
      <x:c r="N331" s="10" t="str">
        <x:v>Not run</x:v>
      </x:c>
      <x:c r="O331" s="10" t="str"/>
      <x:c r="P331" s="10" t="str"/>
    </x:row>
    <x:row r="332" ht="66" customHeight="1">
      <x:c r="A332" s="3" t="str">
        <x:v>PLAN-003</x:v>
      </x:c>
      <x:c r="B332" s="3" t="str">
        <x:v>Not run</x:v>
      </x:c>
      <x:c r="C332" s="3" t="str">
        <x:v>Authentication</x:v>
      </x:c>
      <x:c r="D332" s="3" t="str">
        <x:v>Multiple-tab logout</x:v>
      </x:c>
      <x:c r="E332" s="3" t="str">
        <x:v>Guest / all roles</x:v>
      </x:c>
      <x:c r="F332" s="3" t="str">
        <x:v>Planned release verification</x:v>
      </x:c>
      <x:c r="G332" s="3" t="str">
        <x:v>Log out in one tab and attempt a protected write in another</x:v>
      </x:c>
      <x:c r="H332" s="3" t="str">
        <x:v>Temporary data / isolated environment; agree unspecified policy or limits first</x:v>
      </x:c>
      <x:c r="I332" s="3" t="str">
        <x:v>The other tab requires reauthentication and cannot write</x:v>
      </x:c>
      <x:c r="J332" s="3" t="str">
        <x:v>Not executed in this audit; this is a release checklist item</x:v>
      </x:c>
      <x:c r="K332" s="3" t="str"/>
      <x:c r="L332" s="3" t="str">
        <x:v>Audit coverage plan</x:v>
      </x:c>
      <x:c r="M332" s="3" t="str"/>
      <x:c r="N332" s="10" t="str">
        <x:v>Not run</x:v>
      </x:c>
      <x:c r="O332" s="10" t="str"/>
      <x:c r="P332" s="10" t="str"/>
    </x:row>
    <x:row r="333" ht="66" customHeight="1">
      <x:c r="A333" s="3" t="str">
        <x:v>PLAN-004</x:v>
      </x:c>
      <x:c r="B333" s="3" t="str">
        <x:v>Not run</x:v>
      </x:c>
      <x:c r="C333" s="3" t="str">
        <x:v>Authentication</x:v>
      </x:c>
      <x:c r="D333" s="3" t="str">
        <x:v>Password reset end to end</x:v>
      </x:c>
      <x:c r="E333" s="3" t="str">
        <x:v>Guest / all roles</x:v>
      </x:c>
      <x:c r="F333" s="3" t="str">
        <x:v>Planned release verification</x:v>
      </x:c>
      <x:c r="G333" s="3" t="str">
        <x:v>Run the agreed password recovery flow with valid, expired and reused tokens</x:v>
      </x:c>
      <x:c r="H333" s="3" t="str">
        <x:v>Temporary data / isolated environment; agree unspecified policy or limits first</x:v>
      </x:c>
      <x:c r="I333" s="3" t="str">
        <x:v>Only valid single-use tokens reset the intended account; confirm whether this feature is required</x:v>
      </x:c>
      <x:c r="J333" s="3" t="str">
        <x:v>Not executed in this audit; this is a release checklist item</x:v>
      </x:c>
      <x:c r="K333" s="3" t="str"/>
      <x:c r="L333" s="3" t="str">
        <x:v>Audit coverage plan</x:v>
      </x:c>
      <x:c r="M333" s="3" t="str"/>
      <x:c r="N333" s="10" t="str">
        <x:v>Not run</x:v>
      </x:c>
      <x:c r="O333" s="10" t="str"/>
      <x:c r="P333" s="10" t="str"/>
    </x:row>
    <x:row r="334" ht="66" customHeight="1">
      <x:c r="A334" s="3" t="str">
        <x:v>PLAN-005</x:v>
      </x:c>
      <x:c r="B334" s="3" t="str">
        <x:v>Not run</x:v>
      </x:c>
      <x:c r="C334" s="3" t="str">
        <x:v>Authentication</x:v>
      </x:c>
      <x:c r="D334" s="3" t="str">
        <x:v>Repeated failed-login policy</x:v>
      </x:c>
      <x:c r="E334" s="3" t="str">
        <x:v>Guest / all roles</x:v>
      </x:c>
      <x:c r="F334" s="3" t="str">
        <x:v>Planned release verification</x:v>
      </x:c>
      <x:c r="G334" s="3" t="str">
        <x:v>Apply the agreed failed-login/rate-limit threshold</x:v>
      </x:c>
      <x:c r="H334" s="3" t="str">
        <x:v>Temporary data / isolated environment; agree unspecified policy or limits first</x:v>
      </x:c>
      <x:c r="I334" s="3" t="str">
        <x:v>Document and enforce the agreed limit with clear recovery</x:v>
      </x:c>
      <x:c r="J334" s="3" t="str">
        <x:v>Not executed in this audit; this is a release checklist item</x:v>
      </x:c>
      <x:c r="K334" s="3" t="str"/>
      <x:c r="L334" s="3" t="str">
        <x:v>Audit coverage plan</x:v>
      </x:c>
      <x:c r="M334" s="3" t="str"/>
      <x:c r="N334" s="10" t="str">
        <x:v>Not run</x:v>
      </x:c>
      <x:c r="O334" s="10" t="str"/>
      <x:c r="P334" s="10" t="str"/>
    </x:row>
    <x:row r="335" ht="66" customHeight="1">
      <x:c r="A335" s="3" t="str">
        <x:v>PLAN-006</x:v>
      </x:c>
      <x:c r="B335" s="3" t="str">
        <x:v>Not run</x:v>
      </x:c>
      <x:c r="C335" s="3" t="str">
        <x:v>Authentication</x:v>
      </x:c>
      <x:c r="D335" s="3" t="str">
        <x:v>Deleted-account token replay</x:v>
      </x:c>
      <x:c r="E335" s="3" t="str">
        <x:v>Guest / all roles</x:v>
      </x:c>
      <x:c r="F335" s="3" t="str">
        <x:v>Planned release verification</x:v>
      </x:c>
      <x:c r="G335" s="3" t="str">
        <x:v>Delete a temporary account and replay its token</x:v>
      </x:c>
      <x:c r="H335" s="3" t="str">
        <x:v>Temporary data / isolated environment; agree unspecified policy or limits first</x:v>
      </x:c>
      <x:c r="I335" s="3" t="str">
        <x:v>Protected reads and writes are denied</x:v>
      </x:c>
      <x:c r="J335" s="3" t="str">
        <x:v>Not executed in this audit; this is a release checklist item</x:v>
      </x:c>
      <x:c r="K335" s="3" t="str"/>
      <x:c r="L335" s="3" t="str">
        <x:v>Audit coverage plan</x:v>
      </x:c>
      <x:c r="M335" s="3" t="str"/>
      <x:c r="N335" s="10" t="str">
        <x:v>Not run</x:v>
      </x:c>
      <x:c r="O335" s="10" t="str"/>
      <x:c r="P335" s="10" t="str"/>
    </x:row>
    <x:row r="336" ht="66" customHeight="1">
      <x:c r="A336" s="3" t="str">
        <x:v>PLAN-007</x:v>
      </x:c>
      <x:c r="B336" s="3" t="str">
        <x:v>Not run</x:v>
      </x:c>
      <x:c r="C336" s="3" t="str">
        <x:v>Authentication</x:v>
      </x:c>
      <x:c r="D336" s="3" t="str">
        <x:v>Approval revoked during a session</x:v>
      </x:c>
      <x:c r="E336" s="3" t="str">
        <x:v>Guest / all roles</x:v>
      </x:c>
      <x:c r="F336" s="3" t="str">
        <x:v>Planned release verification</x:v>
      </x:c>
      <x:c r="G336" s="3" t="str">
        <x:v>Revoke an account approval while a session is open</x:v>
      </x:c>
      <x:c r="H336" s="3" t="str">
        <x:v>Temporary data / isolated environment; agree unspecified policy or limits first</x:v>
      </x:c>
      <x:c r="I336" s="3" t="str">
        <x:v>Access follows the agreed revocation policy</x:v>
      </x:c>
      <x:c r="J336" s="3" t="str">
        <x:v>Not executed in this audit; this is a release checklist item</x:v>
      </x:c>
      <x:c r="K336" s="3" t="str"/>
      <x:c r="L336" s="3" t="str">
        <x:v>Audit coverage plan</x:v>
      </x:c>
      <x:c r="M336" s="3" t="str"/>
      <x:c r="N336" s="10" t="str">
        <x:v>Not run</x:v>
      </x:c>
      <x:c r="O336" s="10" t="str"/>
      <x:c r="P336" s="10" t="str"/>
    </x:row>
    <x:row r="337" ht="66" customHeight="1">
      <x:c r="A337" s="3" t="str">
        <x:v>PLAN-008</x:v>
      </x:c>
      <x:c r="B337" s="3" t="str">
        <x:v>Not run</x:v>
      </x:c>
      <x:c r="C337" s="3" t="str">
        <x:v>Authentication</x:v>
      </x:c>
      <x:c r="D337" s="3" t="str">
        <x:v>First-password setup replay</x:v>
      </x:c>
      <x:c r="E337" s="3" t="str">
        <x:v>Guest / all roles</x:v>
      </x:c>
      <x:c r="F337" s="3" t="str">
        <x:v>Planned release verification</x:v>
      </x:c>
      <x:c r="G337" s="3" t="str">
        <x:v>Reuse a consumed initial-password invitation</x:v>
      </x:c>
      <x:c r="H337" s="3" t="str">
        <x:v>Temporary data / isolated environment; agree unspecified policy or limits first</x:v>
      </x:c>
      <x:c r="I337" s="3" t="str">
        <x:v>The reused invitation cannot change credentials</x:v>
      </x:c>
      <x:c r="J337" s="3" t="str">
        <x:v>Not executed in this audit; this is a release checklist item</x:v>
      </x:c>
      <x:c r="K337" s="3" t="str"/>
      <x:c r="L337" s="3" t="str">
        <x:v>Audit coverage plan</x:v>
      </x:c>
      <x:c r="M337" s="3" t="str"/>
      <x:c r="N337" s="10" t="str">
        <x:v>Not run</x:v>
      </x:c>
      <x:c r="O337" s="10" t="str"/>
      <x:c r="P337" s="10" t="str"/>
    </x:row>
    <x:row r="338" ht="66" customHeight="1">
      <x:c r="A338" s="3" t="str">
        <x:v>PLAN-009</x:v>
      </x:c>
      <x:c r="B338" s="3" t="str">
        <x:v>Not run</x:v>
      </x:c>
      <x:c r="C338" s="3" t="str">
        <x:v>Registration and bulk upload</x:v>
      </x:c>
      <x:c r="D338" s="3" t="str">
        <x:v>Mixed-success bulk registration</x:v>
      </x:c>
      <x:c r="E338" s="3" t="str">
        <x:v>Faculty / admin</x:v>
      </x:c>
      <x:c r="F338" s="3" t="str">
        <x:v>Planned release verification</x:v>
      </x:c>
      <x:c r="G338" s="3" t="str">
        <x:v>Upload valid, duplicate and malformed rows together</x:v>
      </x:c>
      <x:c r="H338" s="3" t="str">
        <x:v>Temporary data / isolated environment; agree unspecified policy or limits first</x:v>
      </x:c>
      <x:c r="I338" s="3" t="str">
        <x:v>Successful rows persist; failed rows remain with precise errors</x:v>
      </x:c>
      <x:c r="J338" s="3" t="str">
        <x:v>Not executed in this audit; this is a release checklist item</x:v>
      </x:c>
      <x:c r="K338" s="3" t="str"/>
      <x:c r="L338" s="3" t="str">
        <x:v>Audit coverage plan</x:v>
      </x:c>
      <x:c r="M338" s="3" t="str"/>
      <x:c r="N338" s="10" t="str">
        <x:v>Not run</x:v>
      </x:c>
      <x:c r="O338" s="10" t="str"/>
      <x:c r="P338" s="10" t="str"/>
    </x:row>
    <x:row r="339" ht="66" customHeight="1">
      <x:c r="A339" s="3" t="str">
        <x:v>PLAN-010</x:v>
      </x:c>
      <x:c r="B339" s="3" t="str">
        <x:v>Not run</x:v>
      </x:c>
      <x:c r="C339" s="3" t="str">
        <x:v>Registration and bulk upload</x:v>
      </x:c>
      <x:c r="D339" s="3" t="str">
        <x:v>Duplicates within one uploaded file</x:v>
      </x:c>
      <x:c r="E339" s="3" t="str">
        <x:v>Faculty / admin</x:v>
      </x:c>
      <x:c r="F339" s="3" t="str">
        <x:v>Planned release verification</x:v>
      </x:c>
      <x:c r="G339" s="3" t="str">
        <x:v>Upload two rows with the same student ID/email</x:v>
      </x:c>
      <x:c r="H339" s="3" t="str">
        <x:v>Temporary data / isolated environment; agree unspecified policy or limits first</x:v>
      </x:c>
      <x:c r="I339" s="3" t="str">
        <x:v>Duplicate handling is explicit with no duplicate accounts</x:v>
      </x:c>
      <x:c r="J339" s="3" t="str">
        <x:v>Not executed in this audit; this is a release checklist item</x:v>
      </x:c>
      <x:c r="K339" s="3" t="str"/>
      <x:c r="L339" s="3" t="str">
        <x:v>Audit coverage plan</x:v>
      </x:c>
      <x:c r="M339" s="3" t="str"/>
      <x:c r="N339" s="10" t="str">
        <x:v>Not run</x:v>
      </x:c>
      <x:c r="O339" s="10" t="str"/>
      <x:c r="P339" s="10" t="str"/>
    </x:row>
    <x:row r="340" ht="66" customHeight="1">
      <x:c r="A340" s="3" t="str">
        <x:v>PLAN-011</x:v>
      </x:c>
      <x:c r="B340" s="3" t="str">
        <x:v>Not run</x:v>
      </x:c>
      <x:c r="C340" s="3" t="str">
        <x:v>Registration and bulk upload</x:v>
      </x:c>
      <x:c r="D340" s="3" t="str">
        <x:v>Unsupported upload format</x:v>
      </x:c>
      <x:c r="E340" s="3" t="str">
        <x:v>Faculty / admin</x:v>
      </x:c>
      <x:c r="F340" s="3" t="str">
        <x:v>Planned release verification</x:v>
      </x:c>
      <x:c r="G340" s="3" t="str">
        <x:v>Supply a text or executable file in the import flow</x:v>
      </x:c>
      <x:c r="H340" s="3" t="str">
        <x:v>Temporary data / isolated environment; agree unspecified policy or limits first</x:v>
      </x:c>
      <x:c r="I340" s="3" t="str">
        <x:v>Unsupported files are rejected without a page crash</x:v>
      </x:c>
      <x:c r="J340" s="3" t="str">
        <x:v>Not executed in this audit; this is a release checklist item</x:v>
      </x:c>
      <x:c r="K340" s="3" t="str"/>
      <x:c r="L340" s="3" t="str">
        <x:v>Audit coverage plan</x:v>
      </x:c>
      <x:c r="M340" s="3" t="str"/>
      <x:c r="N340" s="10" t="str">
        <x:v>Not run</x:v>
      </x:c>
      <x:c r="O340" s="10" t="str"/>
      <x:c r="P340" s="10" t="str"/>
    </x:row>
    <x:row r="341" ht="66" customHeight="1">
      <x:c r="A341" s="3" t="str">
        <x:v>PLAN-012</x:v>
      </x:c>
      <x:c r="B341" s="3" t="str">
        <x:v>Not run</x:v>
      </x:c>
      <x:c r="C341" s="3" t="str">
        <x:v>Registration and bulk upload</x:v>
      </x:c>
      <x:c r="D341" s="3" t="str">
        <x:v>Large import boundary</x:v>
      </x:c>
      <x:c r="E341" s="3" t="str">
        <x:v>Faculty / admin</x:v>
      </x:c>
      <x:c r="F341" s="3" t="str">
        <x:v>Planned release verification</x:v>
      </x:c>
      <x:c r="G341" s="3" t="str">
        <x:v>Import at, below and above the agreed file/row limits</x:v>
      </x:c>
      <x:c r="H341" s="3" t="str">
        <x:v>Temporary data / isolated environment; agree unspecified policy or limits first</x:v>
      </x:c>
      <x:c r="I341" s="3" t="str">
        <x:v>Enforce documented limits; avoid timeouts or silent truncation</x:v>
      </x:c>
      <x:c r="J341" s="3" t="str">
        <x:v>Not executed in this audit; this is a release checklist item</x:v>
      </x:c>
      <x:c r="K341" s="3" t="str"/>
      <x:c r="L341" s="3" t="str">
        <x:v>Audit coverage plan</x:v>
      </x:c>
      <x:c r="M341" s="3" t="str"/>
      <x:c r="N341" s="10" t="str">
        <x:v>Not run</x:v>
      </x:c>
      <x:c r="O341" s="10" t="str"/>
      <x:c r="P341" s="10" t="str"/>
    </x:row>
    <x:row r="342" ht="66" customHeight="1">
      <x:c r="A342" s="3" t="str">
        <x:v>PLAN-013</x:v>
      </x:c>
      <x:c r="B342" s="3" t="str">
        <x:v>Not run</x:v>
      </x:c>
      <x:c r="C342" s="3" t="str">
        <x:v>Registration and bulk upload</x:v>
      </x:c>
      <x:c r="D342" s="3" t="str">
        <x:v>Empty and header-only import</x:v>
      </x:c>
      <x:c r="E342" s="3" t="str">
        <x:v>Faculty / admin</x:v>
      </x:c>
      <x:c r="F342" s="3" t="str">
        <x:v>Planned release verification</x:v>
      </x:c>
      <x:c r="G342" s="3" t="str">
        <x:v>Upload a workbook containing no student rows</x:v>
      </x:c>
      <x:c r="H342" s="3" t="str">
        <x:v>Temporary data / isolated environment; agree unspecified policy or limits first</x:v>
      </x:c>
      <x:c r="I342" s="3" t="str">
        <x:v>Display a clear empty-input message without creating users</x:v>
      </x:c>
      <x:c r="J342" s="3" t="str">
        <x:v>Not executed in this audit; this is a release checklist item</x:v>
      </x:c>
      <x:c r="K342" s="3" t="str"/>
      <x:c r="L342" s="3" t="str">
        <x:v>Audit coverage plan</x:v>
      </x:c>
      <x:c r="M342" s="3" t="str"/>
      <x:c r="N342" s="10" t="str">
        <x:v>Not run</x:v>
      </x:c>
      <x:c r="O342" s="10" t="str"/>
      <x:c r="P342" s="10" t="str"/>
    </x:row>
    <x:row r="343" ht="66" customHeight="1">
      <x:c r="A343" s="3" t="str">
        <x:v>PLAN-014</x:v>
      </x:c>
      <x:c r="B343" s="3" t="str">
        <x:v>Not run</x:v>
      </x:c>
      <x:c r="C343" s="3" t="str">
        <x:v>Registration and bulk upload</x:v>
      </x:c>
      <x:c r="D343" s="3" t="str">
        <x:v>Spreadsheet formula cells</x:v>
      </x:c>
      <x:c r="E343" s="3" t="str">
        <x:v>Faculty / admin</x:v>
      </x:c>
      <x:c r="F343" s="3" t="str">
        <x:v>Planned release verification</x:v>
      </x:c>
      <x:c r="G343" s="3" t="str">
        <x:v>Import rows containing formulas instead of literal required fields</x:v>
      </x:c>
      <x:c r="H343" s="3" t="str">
        <x:v>Temporary data / isolated environment; agree unspecified policy or limits first</x:v>
      </x:c>
      <x:c r="I343" s="3" t="str">
        <x:v>Do not execute formulas; apply documented import interpretation</x:v>
      </x:c>
      <x:c r="J343" s="3" t="str">
        <x:v>Not executed in this audit; this is a release checklist item</x:v>
      </x:c>
      <x:c r="K343" s="3" t="str"/>
      <x:c r="L343" s="3" t="str">
        <x:v>Audit coverage plan</x:v>
      </x:c>
      <x:c r="M343" s="3" t="str"/>
      <x:c r="N343" s="10" t="str">
        <x:v>Not run</x:v>
      </x:c>
      <x:c r="O343" s="10" t="str"/>
      <x:c r="P343" s="10" t="str"/>
    </x:row>
    <x:row r="344" ht="66" customHeight="1">
      <x:c r="A344" s="3" t="str">
        <x:v>PLAN-015</x:v>
      </x:c>
      <x:c r="B344" s="3" t="str">
        <x:v>Not run</x:v>
      </x:c>
      <x:c r="C344" s="3" t="str">
        <x:v>Registration and bulk upload</x:v>
      </x:c>
      <x:c r="D344" s="3" t="str">
        <x:v>Approval race</x:v>
      </x:c>
      <x:c r="E344" s="3" t="str">
        <x:v>Faculty / admin</x:v>
      </x:c>
      <x:c r="F344" s="3" t="str">
        <x:v>Planned release verification</x:v>
      </x:c>
      <x:c r="G344" s="3" t="str">
        <x:v>Two staff users approve/decline the same request simultaneously</x:v>
      </x:c>
      <x:c r="H344" s="3" t="str">
        <x:v>Temporary data / isolated environment; agree unspecified policy or limits first</x:v>
      </x:c>
      <x:c r="I344" s="3" t="str">
        <x:v>One consistent final state and clear responses</x:v>
      </x:c>
      <x:c r="J344" s="3" t="str">
        <x:v>Not executed in this audit; this is a release checklist item</x:v>
      </x:c>
      <x:c r="K344" s="3" t="str"/>
      <x:c r="L344" s="3" t="str">
        <x:v>Audit coverage plan</x:v>
      </x:c>
      <x:c r="M344" s="3" t="str"/>
      <x:c r="N344" s="10" t="str">
        <x:v>Not run</x:v>
      </x:c>
      <x:c r="O344" s="10" t="str"/>
      <x:c r="P344" s="10" t="str"/>
    </x:row>
    <x:row r="345" ht="66" customHeight="1">
      <x:c r="A345" s="3" t="str">
        <x:v>PLAN-016</x:v>
      </x:c>
      <x:c r="B345" s="3" t="str">
        <x:v>Not run</x:v>
      </x:c>
      <x:c r="C345" s="3" t="str">
        <x:v>Registration and bulk upload</x:v>
      </x:c>
      <x:c r="D345" s="3" t="str">
        <x:v>Faculty deletion with owned content</x:v>
      </x:c>
      <x:c r="E345" s="3" t="str">
        <x:v>Faculty / admin</x:v>
      </x:c>
      <x:c r="F345" s="3" t="str">
        <x:v>Planned release verification</x:v>
      </x:c>
      <x:c r="G345" s="3" t="str">
        <x:v>Delete a temporary faculty owning students/problems/assessments</x:v>
      </x:c>
      <x:c r="H345" s="3" t="str">
        <x:v>Temporary data / isolated environment; agree unspecified policy or limits first</x:v>
      </x:c>
      <x:c r="I345" s="3" t="str">
        <x:v>Apply documented retention/cascade policy and protect unrelated users</x:v>
      </x:c>
      <x:c r="J345" s="3" t="str">
        <x:v>Not executed in this audit; this is a release checklist item</x:v>
      </x:c>
      <x:c r="K345" s="3" t="str"/>
      <x:c r="L345" s="3" t="str">
        <x:v>Audit coverage plan</x:v>
      </x:c>
      <x:c r="M345" s="3" t="str"/>
      <x:c r="N345" s="10" t="str">
        <x:v>Not run</x:v>
      </x:c>
      <x:c r="O345" s="10" t="str"/>
      <x:c r="P345" s="10" t="str"/>
    </x:row>
    <x:row r="346" ht="66" customHeight="1">
      <x:c r="A346" s="3" t="str">
        <x:v>PLAN-017</x:v>
      </x:c>
      <x:c r="B346" s="3" t="str">
        <x:v>Not run</x:v>
      </x:c>
      <x:c r="C346" s="3" t="str">
        <x:v>Problem authoring</x:v>
      </x:c>
      <x:c r="D346" s="3" t="str">
        <x:v>Atomic nested update under database failure</x:v>
      </x:c>
      <x:c r="E346" s="3" t="str">
        <x:v>Faculty / admin</x:v>
      </x:c>
      <x:c r="F346" s="3" t="str">
        <x:v>Planned release verification</x:v>
      </x:c>
      <x:c r="G346" s="3" t="str">
        <x:v>Force an isolated database error midway through nested update</x:v>
      </x:c>
      <x:c r="H346" s="3" t="str">
        <x:v>Temporary data / isolated environment; agree unspecified policy or limits first</x:v>
      </x:c>
      <x:c r="I346" s="3" t="str">
        <x:v>All old data remains unchanged</x:v>
      </x:c>
      <x:c r="J346" s="3" t="str">
        <x:v>Not executed in this audit; this is a release checklist item</x:v>
      </x:c>
      <x:c r="K346" s="3" t="str"/>
      <x:c r="L346" s="3" t="str">
        <x:v>Audit coverage plan</x:v>
      </x:c>
      <x:c r="M346" s="3" t="str"/>
      <x:c r="N346" s="10" t="str">
        <x:v>Not run</x:v>
      </x:c>
      <x:c r="O346" s="10" t="str"/>
      <x:c r="P346" s="10" t="str"/>
    </x:row>
    <x:row r="347" ht="66" customHeight="1">
      <x:c r="A347" s="3" t="str">
        <x:v>PLAN-018</x:v>
      </x:c>
      <x:c r="B347" s="3" t="str">
        <x:v>Not run</x:v>
      </x:c>
      <x:c r="C347" s="3" t="str">
        <x:v>Problem authoring</x:v>
      </x:c>
      <x:c r="D347" s="3" t="str">
        <x:v>Concurrent edit conflict</x:v>
      </x:c>
      <x:c r="E347" s="3" t="str">
        <x:v>Faculty / admin</x:v>
      </x:c>
      <x:c r="F347" s="3" t="str">
        <x:v>Planned release verification</x:v>
      </x:c>
      <x:c r="G347" s="3" t="str">
        <x:v>Edit the same problem from two browser tabs</x:v>
      </x:c>
      <x:c r="H347" s="3" t="str">
        <x:v>Temporary data / isolated environment; agree unspecified policy or limits first</x:v>
      </x:c>
      <x:c r="I347" s="3" t="str">
        <x:v>Document last-write/version policy; avoid unnoticed data loss</x:v>
      </x:c>
      <x:c r="J347" s="3" t="str">
        <x:v>Not executed in this audit; this is a release checklist item</x:v>
      </x:c>
      <x:c r="K347" s="3" t="str"/>
      <x:c r="L347" s="3" t="str">
        <x:v>Audit coverage plan</x:v>
      </x:c>
      <x:c r="M347" s="3" t="str"/>
      <x:c r="N347" s="10" t="str">
        <x:v>Not run</x:v>
      </x:c>
      <x:c r="O347" s="10" t="str"/>
      <x:c r="P347" s="10" t="str"/>
    </x:row>
    <x:row r="348" ht="66" customHeight="1">
      <x:c r="A348" s="3" t="str">
        <x:v>PLAN-019</x:v>
      </x:c>
      <x:c r="B348" s="3" t="str">
        <x:v>Not run</x:v>
      </x:c>
      <x:c r="C348" s="3" t="str">
        <x:v>Problem authoring</x:v>
      </x:c>
      <x:c r="D348" s="3" t="str">
        <x:v>Zero-test-case policy</x:v>
      </x:c>
      <x:c r="E348" s="3" t="str">
        <x:v>Faculty / admin</x:v>
      </x:c>
      <x:c r="F348" s="3" t="str">
        <x:v>Planned release verification</x:v>
      </x:c>
      <x:c r="G348" s="3" t="str">
        <x:v>Create/publish a problem with no test cases</x:v>
      </x:c>
      <x:c r="H348" s="3" t="str">
        <x:v>Temporary data / isolated environment; agree unspecified policy or limits first</x:v>
      </x:c>
      <x:c r="I348" s="3" t="str">
        <x:v>Enforce the agreed publish requirement and truthful scoring</x:v>
      </x:c>
      <x:c r="J348" s="3" t="str">
        <x:v>Not executed in this audit; this is a release checklist item</x:v>
      </x:c>
      <x:c r="K348" s="3" t="str"/>
      <x:c r="L348" s="3" t="str">
        <x:v>Audit coverage plan</x:v>
      </x:c>
      <x:c r="M348" s="3" t="str"/>
      <x:c r="N348" s="10" t="str">
        <x:v>Not run</x:v>
      </x:c>
      <x:c r="O348" s="10" t="str"/>
      <x:c r="P348" s="10" t="str"/>
    </x:row>
    <x:row r="349" ht="66" customHeight="1">
      <x:c r="A349" s="3" t="str">
        <x:v>PLAN-020</x:v>
      </x:c>
      <x:c r="B349" s="3" t="str">
        <x:v>Not run</x:v>
      </x:c>
      <x:c r="C349" s="3" t="str">
        <x:v>Problem authoring</x:v>
      </x:c>
      <x:c r="D349" s="3" t="str">
        <x:v>Duplicate case ordering</x:v>
      </x:c>
      <x:c r="E349" s="3" t="str">
        <x:v>Faculty / admin</x:v>
      </x:c>
      <x:c r="F349" s="3" t="str">
        <x:v>Planned release verification</x:v>
      </x:c>
      <x:c r="G349" s="3" t="str">
        <x:v>Add/reorder/remove nested cases rapidly</x:v>
      </x:c>
      <x:c r="H349" s="3" t="str">
        <x:v>Temporary data / isolated environment; agree unspecified policy or limits first</x:v>
      </x:c>
      <x:c r="I349" s="3" t="str">
        <x:v>Stable case order and correct total marks survive reload</x:v>
      </x:c>
      <x:c r="J349" s="3" t="str">
        <x:v>Not executed in this audit; this is a release checklist item</x:v>
      </x:c>
      <x:c r="K349" s="3" t="str"/>
      <x:c r="L349" s="3" t="str">
        <x:v>Audit coverage plan</x:v>
      </x:c>
      <x:c r="M349" s="3" t="str"/>
      <x:c r="N349" s="10" t="str">
        <x:v>Not run</x:v>
      </x:c>
      <x:c r="O349" s="10" t="str"/>
      <x:c r="P349" s="10" t="str"/>
    </x:row>
    <x:row r="350" ht="66" customHeight="1">
      <x:c r="A350" s="3" t="str">
        <x:v>PLAN-021</x:v>
      </x:c>
      <x:c r="B350" s="3" t="str">
        <x:v>Not run</x:v>
      </x:c>
      <x:c r="C350" s="3" t="str">
        <x:v>Problem authoring</x:v>
      </x:c>
      <x:c r="D350" s="3" t="str">
        <x:v>Long Unicode problem content</x:v>
      </x:c>
      <x:c r="E350" s="3" t="str">
        <x:v>Faculty / admin</x:v>
      </x:c>
      <x:c r="F350" s="3" t="str">
        <x:v>Planned release verification</x:v>
      </x:c>
      <x:c r="G350" s="3" t="str">
        <x:v>Use multiline Unicode, emoji and long permitted text</x:v>
      </x:c>
      <x:c r="H350" s="3" t="str">
        <x:v>Temporary data / isolated environment; agree unspecified policy or limits first</x:v>
      </x:c>
      <x:c r="I350" s="3" t="str">
        <x:v>Content round-trips without clipping or encoding loss</x:v>
      </x:c>
      <x:c r="J350" s="3" t="str">
        <x:v>Not executed in this audit; this is a release checklist item</x:v>
      </x:c>
      <x:c r="K350" s="3" t="str"/>
      <x:c r="L350" s="3" t="str">
        <x:v>Audit coverage plan</x:v>
      </x:c>
      <x:c r="M350" s="3" t="str"/>
      <x:c r="N350" s="10" t="str">
        <x:v>Not run</x:v>
      </x:c>
      <x:c r="O350" s="10" t="str"/>
      <x:c r="P350" s="10" t="str"/>
    </x:row>
    <x:row r="351" ht="66" customHeight="1">
      <x:c r="A351" s="3" t="str">
        <x:v>PLAN-022</x:v>
      </x:c>
      <x:c r="B351" s="3" t="str">
        <x:v>Not run</x:v>
      </x:c>
      <x:c r="C351" s="3" t="str">
        <x:v>Problem authoring</x:v>
      </x:c>
      <x:c r="D351" s="3" t="str">
        <x:v>Description injection</x:v>
      </x:c>
      <x:c r="E351" s="3" t="str">
        <x:v>Faculty / admin</x:v>
      </x:c>
      <x:c r="F351" s="3" t="str">
        <x:v>Planned release verification</x:v>
      </x:c>
      <x:c r="G351" s="3" t="str">
        <x:v>Render HTML/script-looking problem text in every reader</x:v>
      </x:c>
      <x:c r="H351" s="3" t="str">
        <x:v>Temporary data / isolated environment; agree unspecified policy or limits first</x:v>
      </x:c>
      <x:c r="I351" s="3" t="str">
        <x:v>Content is safely escaped or sanitized; no executable script</x:v>
      </x:c>
      <x:c r="J351" s="3" t="str">
        <x:v>Not executed in this audit; this is a release checklist item</x:v>
      </x:c>
      <x:c r="K351" s="3" t="str"/>
      <x:c r="L351" s="3" t="str">
        <x:v>Audit coverage plan</x:v>
      </x:c>
      <x:c r="M351" s="3" t="str"/>
      <x:c r="N351" s="10" t="str">
        <x:v>Not run</x:v>
      </x:c>
      <x:c r="O351" s="10" t="str"/>
      <x:c r="P351" s="10" t="str"/>
    </x:row>
    <x:row r="352" ht="66" customHeight="1">
      <x:c r="A352" s="3" t="str">
        <x:v>PLAN-023</x:v>
      </x:c>
      <x:c r="B352" s="3" t="str">
        <x:v>Not run</x:v>
      </x:c>
      <x:c r="C352" s="3" t="str">
        <x:v>Problem authoring</x:v>
      </x:c>
      <x:c r="D352" s="3" t="str">
        <x:v>Delete problem with saved submissions</x:v>
      </x:c>
      <x:c r="E352" s="3" t="str">
        <x:v>Faculty / admin</x:v>
      </x:c>
      <x:c r="F352" s="3" t="str">
        <x:v>Planned release verification</x:v>
      </x:c>
      <x:c r="G352" s="3" t="str">
        <x:v>Delete a temporary problem with history/drafts</x:v>
      </x:c>
      <x:c r="H352" s="3" t="str">
        <x:v>Temporary data / isolated environment; agree unspecified policy or limits first</x:v>
      </x:c>
      <x:c r="I352" s="3" t="str">
        <x:v>Apply agreed retention policy with clear confirmation and no unrelated deletion</x:v>
      </x:c>
      <x:c r="J352" s="3" t="str">
        <x:v>Not executed in this audit; this is a release checklist item</x:v>
      </x:c>
      <x:c r="K352" s="3" t="str"/>
      <x:c r="L352" s="3" t="str">
        <x:v>Audit coverage plan</x:v>
      </x:c>
      <x:c r="M352" s="3" t="str"/>
      <x:c r="N352" s="10" t="str">
        <x:v>Not run</x:v>
      </x:c>
      <x:c r="O352" s="10" t="str"/>
      <x:c r="P352" s="10" t="str"/>
    </x:row>
    <x:row r="353" ht="66" customHeight="1">
      <x:c r="A353" s="3" t="str">
        <x:v>PLAN-024</x:v>
      </x:c>
      <x:c r="B353" s="3" t="str">
        <x:v>Not run</x:v>
      </x:c>
      <x:c r="C353" s="3" t="str">
        <x:v>Problem authoring</x:v>
      </x:c>
      <x:c r="D353" s="3" t="str">
        <x:v>All numeric resource boundaries</x:v>
      </x:c>
      <x:c r="E353" s="3" t="str">
        <x:v>Faculty / admin</x:v>
      </x:c>
      <x:c r="F353" s="3" t="str">
        <x:v>Planned release verification</x:v>
      </x:c>
      <x:c r="G353" s="3" t="str">
        <x:v>Test numeric strings, NaN-like values, extremes and omitted limits</x:v>
      </x:c>
      <x:c r="H353" s="3" t="str">
        <x:v>Temporary data / isolated environment; agree unspecified policy or limits first</x:v>
      </x:c>
      <x:c r="I353" s="3" t="str">
        <x:v>Apply a single documented type/range policy across create/edit</x:v>
      </x:c>
      <x:c r="J353" s="3" t="str">
        <x:v>Not executed in this audit; this is a release checklist item</x:v>
      </x:c>
      <x:c r="K353" s="3" t="str"/>
      <x:c r="L353" s="3" t="str">
        <x:v>Audit coverage plan</x:v>
      </x:c>
      <x:c r="M353" s="3" t="str"/>
      <x:c r="N353" s="10" t="str">
        <x:v>Not run</x:v>
      </x:c>
      <x:c r="O353" s="10" t="str"/>
      <x:c r="P353" s="10" t="str"/>
    </x:row>
    <x:row r="354" ht="66" customHeight="1">
      <x:c r="A354" s="3" t="str">
        <x:v>PLAN-025</x:v>
      </x:c>
      <x:c r="B354" s="3" t="str">
        <x:v>Not run</x:v>
      </x:c>
      <x:c r="C354" s="3" t="str">
        <x:v>Assessments and permissions</x:v>
      </x:c>
      <x:c r="D354" s="3" t="str">
        <x:v>Exact start boundary</x:v>
      </x:c>
      <x:c r="E354" s="3" t="str">
        <x:v>All roles</x:v>
      </x:c>
      <x:c r="F354" s="3" t="str">
        <x:v>Planned release verification</x:v>
      </x:c>
      <x:c r="G354" s="3" t="str">
        <x:v>Read, draft, run and submit immediately before/at/after start</x:v>
      </x:c>
      <x:c r="H354" s="3" t="str">
        <x:v>Temporary data / isolated environment; agree unspecified policy or limits first</x:v>
      </x:c>
      <x:c r="I354" s="3" t="str">
        <x:v>Access matches the documented inclusive/exclusive start policy</x:v>
      </x:c>
      <x:c r="J354" s="3" t="str">
        <x:v>Not executed in this audit; this is a release checklist item</x:v>
      </x:c>
      <x:c r="K354" s="3" t="str"/>
      <x:c r="L354" s="3" t="str">
        <x:v>Audit coverage plan</x:v>
      </x:c>
      <x:c r="M354" s="3" t="str"/>
      <x:c r="N354" s="10" t="str">
        <x:v>Not run</x:v>
      </x:c>
      <x:c r="O354" s="10" t="str"/>
      <x:c r="P354" s="10" t="str"/>
    </x:row>
    <x:row r="355" ht="66" customHeight="1">
      <x:c r="A355" s="3" t="str">
        <x:v>PLAN-026</x:v>
      </x:c>
      <x:c r="B355" s="3" t="str">
        <x:v>Not run</x:v>
      </x:c>
      <x:c r="C355" s="3" t="str">
        <x:v>Assessments and permissions</x:v>
      </x:c>
      <x:c r="D355" s="3" t="str">
        <x:v>Exact end boundary</x:v>
      </x:c>
      <x:c r="E355" s="3" t="str">
        <x:v>All roles</x:v>
      </x:c>
      <x:c r="F355" s="3" t="str">
        <x:v>Planned release verification</x:v>
      </x:c>
      <x:c r="G355" s="3" t="str">
        <x:v>Run/submit immediately before/at/after end</x:v>
      </x:c>
      <x:c r="H355" s="3" t="str">
        <x:v>Temporary data / isolated environment; agree unspecified policy or limits first</x:v>
      </x:c>
      <x:c r="I355" s="3" t="str">
        <x:v>Cutoff policy is consistent between API and interface</x:v>
      </x:c>
      <x:c r="J355" s="3" t="str">
        <x:v>Not executed in this audit; this is a release checklist item</x:v>
      </x:c>
      <x:c r="K355" s="3" t="str"/>
      <x:c r="L355" s="3" t="str">
        <x:v>Audit coverage plan</x:v>
      </x:c>
      <x:c r="M355" s="3" t="str"/>
      <x:c r="N355" s="10" t="str">
        <x:v>Not run</x:v>
      </x:c>
      <x:c r="O355" s="10" t="str"/>
      <x:c r="P355" s="10" t="str"/>
    </x:row>
    <x:row r="356" ht="66" customHeight="1">
      <x:c r="A356" s="3" t="str">
        <x:v>PLAN-027</x:v>
      </x:c>
      <x:c r="B356" s="3" t="str">
        <x:v>Not run</x:v>
      </x:c>
      <x:c r="C356" s="3" t="str">
        <x:v>Assessments and permissions</x:v>
      </x:c>
      <x:c r="D356" s="3" t="str">
        <x:v>In-flight job crosses end time</x:v>
      </x:c>
      <x:c r="E356" s="3" t="str">
        <x:v>All roles</x:v>
      </x:c>
      <x:c r="F356" s="3" t="str">
        <x:v>Planned release verification</x:v>
      </x:c>
      <x:c r="G356" s="3" t="str">
        <x:v>Submit before end; complete execution after end</x:v>
      </x:c>
      <x:c r="H356" s="3" t="str">
        <x:v>Temporary data / isolated environment; agree unspecified policy or limits first</x:v>
      </x:c>
      <x:c r="I356" s="3" t="str">
        <x:v>Marking follows a documented submission-time policy</x:v>
      </x:c>
      <x:c r="J356" s="3" t="str">
        <x:v>Not executed in this audit; this is a release checklist item</x:v>
      </x:c>
      <x:c r="K356" s="3" t="str"/>
      <x:c r="L356" s="3" t="str">
        <x:v>Audit coverage plan</x:v>
      </x:c>
      <x:c r="M356" s="3" t="str"/>
      <x:c r="N356" s="10" t="str">
        <x:v>Not run</x:v>
      </x:c>
      <x:c r="O356" s="10" t="str"/>
      <x:c r="P356" s="10" t="str"/>
    </x:row>
    <x:row r="357" ht="66" customHeight="1">
      <x:c r="A357" s="3" t="str">
        <x:v>PLAN-028</x:v>
      </x:c>
      <x:c r="B357" s="3" t="str">
        <x:v>Not run</x:v>
      </x:c>
      <x:c r="C357" s="3" t="str">
        <x:v>Assessments and permissions</x:v>
      </x:c>
      <x:c r="D357" s="3" t="str">
        <x:v>Timezone and daylight-saving entry</x:v>
      </x:c>
      <x:c r="E357" s="3" t="str">
        <x:v>All roles</x:v>
      </x:c>
      <x:c r="F357" s="3" t="str">
        <x:v>Planned release verification</x:v>
      </x:c>
      <x:c r="G357" s="3" t="str">
        <x:v>Create/edit from another timezone through a daylight-saving transition</x:v>
      </x:c>
      <x:c r="H357" s="3" t="str">
        <x:v>Temporary data / isolated environment; agree unspecified policy or limits first</x:v>
      </x:c>
      <x:c r="I357" s="3" t="str">
        <x:v>Displayed time and stored UTC refer to the intended instant</x:v>
      </x:c>
      <x:c r="J357" s="3" t="str">
        <x:v>Not executed in this audit; this is a release checklist item</x:v>
      </x:c>
      <x:c r="K357" s="3" t="str"/>
      <x:c r="L357" s="3" t="str">
        <x:v>Audit coverage plan</x:v>
      </x:c>
      <x:c r="M357" s="3" t="str"/>
      <x:c r="N357" s="10" t="str">
        <x:v>Not run</x:v>
      </x:c>
      <x:c r="O357" s="10" t="str"/>
      <x:c r="P357" s="10" t="str"/>
    </x:row>
    <x:row r="358" ht="66" customHeight="1">
      <x:c r="A358" s="3" t="str">
        <x:v>PLAN-029</x:v>
      </x:c>
      <x:c r="B358" s="3" t="str">
        <x:v>Not run</x:v>
      </x:c>
      <x:c r="C358" s="3" t="str">
        <x:v>Assessments and permissions</x:v>
      </x:c>
      <x:c r="D358" s="3" t="str">
        <x:v>Independent direct and assessment assignments</x:v>
      </x:c>
      <x:c r="E358" s="3" t="str">
        <x:v>All roles</x:v>
      </x:c>
      <x:c r="F358" s="3" t="str">
        <x:v>Planned release verification</x:v>
      </x:c>
      <x:c r="G358" s="3" t="str">
        <x:v>Remove one assignment source while another remains</x:v>
      </x:c>
      <x:c r="H358" s="3" t="str">
        <x:v>Temporary data / isolated environment; agree unspecified policy or limits first</x:v>
      </x:c>
      <x:c r="I358" s="3" t="str">
        <x:v>All remaining valid sources preserve effective access</x:v>
      </x:c>
      <x:c r="J358" s="3" t="str">
        <x:v>Not executed in this audit; this is a release checklist item</x:v>
      </x:c>
      <x:c r="K358" s="3" t="str"/>
      <x:c r="L358" s="3" t="str">
        <x:v>Audit coverage plan</x:v>
      </x:c>
      <x:c r="M358" s="3" t="str"/>
      <x:c r="N358" s="10" t="str">
        <x:v>Not run</x:v>
      </x:c>
      <x:c r="O358" s="10" t="str"/>
      <x:c r="P358" s="10" t="str"/>
    </x:row>
    <x:row r="359" ht="66" customHeight="1">
      <x:c r="A359" s="3" t="str">
        <x:v>PLAN-030</x:v>
      </x:c>
      <x:c r="B359" s="3" t="str">
        <x:v>Not run</x:v>
      </x:c>
      <x:c r="C359" s="3" t="str">
        <x:v>Assessments and permissions</x:v>
      </x:c>
      <x:c r="D359" s="3" t="str">
        <x:v>Student removed during assessment</x:v>
      </x:c>
      <x:c r="E359" s="3" t="str">
        <x:v>All roles</x:v>
      </x:c>
      <x:c r="F359" s="3" t="str">
        <x:v>Planned release verification</x:v>
      </x:c>
      <x:c r="G359" s="3" t="str">
        <x:v>Unassign a student while its problem editor is open</x:v>
      </x:c>
      <x:c r="H359" s="3" t="str">
        <x:v>Temporary data / isolated environment; agree unspecified policy or limits first</x:v>
      </x:c>
      <x:c r="I359" s="3" t="str">
        <x:v>Next protected actions enforce current assignment</x:v>
      </x:c>
      <x:c r="J359" s="3" t="str">
        <x:v>Not executed in this audit; this is a release checklist item</x:v>
      </x:c>
      <x:c r="K359" s="3" t="str"/>
      <x:c r="L359" s="3" t="str">
        <x:v>Audit coverage plan</x:v>
      </x:c>
      <x:c r="M359" s="3" t="str"/>
      <x:c r="N359" s="10" t="str">
        <x:v>Not run</x:v>
      </x:c>
      <x:c r="O359" s="10" t="str"/>
      <x:c r="P359" s="10" t="str"/>
    </x:row>
    <x:row r="360" ht="66" customHeight="1">
      <x:c r="A360" s="3" t="str">
        <x:v>PLAN-031</x:v>
      </x:c>
      <x:c r="B360" s="3" t="str">
        <x:v>Not run</x:v>
      </x:c>
      <x:c r="C360" s="3" t="str">
        <x:v>Assessments and permissions</x:v>
      </x:c>
      <x:c r="D360" s="3" t="str">
        <x:v>Problem changed during live assessment</x:v>
      </x:c>
      <x:c r="E360" s="3" t="str">
        <x:v>All roles</x:v>
      </x:c>
      <x:c r="F360" s="3" t="str">
        <x:v>Planned release verification</x:v>
      </x:c>
      <x:c r="G360" s="3" t="str">
        <x:v>Edit cases/marks after students start</x:v>
      </x:c>
      <x:c r="H360" s="3" t="str">
        <x:v>Temporary data / isolated environment; agree unspecified policy or limits first</x:v>
      </x:c>
      <x:c r="I360" s="3" t="str">
        <x:v>Apply documented version/freeze policy consistently</x:v>
      </x:c>
      <x:c r="J360" s="3" t="str">
        <x:v>Not executed in this audit; this is a release checklist item</x:v>
      </x:c>
      <x:c r="K360" s="3" t="str"/>
      <x:c r="L360" s="3" t="str">
        <x:v>Audit coverage plan</x:v>
      </x:c>
      <x:c r="M360" s="3" t="str"/>
      <x:c r="N360" s="10" t="str">
        <x:v>Not run</x:v>
      </x:c>
      <x:c r="O360" s="10" t="str"/>
      <x:c r="P360" s="10" t="str"/>
    </x:row>
    <x:row r="361" ht="66" customHeight="1">
      <x:c r="A361" s="3" t="str">
        <x:v>PLAN-032</x:v>
      </x:c>
      <x:c r="B361" s="3" t="str">
        <x:v>Not run</x:v>
      </x:c>
      <x:c r="C361" s="3" t="str">
        <x:v>Assessments and permissions</x:v>
      </x:c>
      <x:c r="D361" s="3" t="str">
        <x:v>Owner transfer and admin override policy</x:v>
      </x:c>
      <x:c r="E361" s="3" t="str">
        <x:v>All roles</x:v>
      </x:c>
      <x:c r="F361" s="3" t="str">
        <x:v>Planned release verification</x:v>
      </x:c>
      <x:c r="G361" s="3" t="str">
        <x:v>Try authorized/unauthorized content ownership changes</x:v>
      </x:c>
      <x:c r="H361" s="3" t="str">
        <x:v>Temporary data / isolated environment; agree unspecified policy or limits first</x:v>
      </x:c>
      <x:c r="I361" s="3" t="str">
        <x:v>Only the documented roles can transfer or override ownership</x:v>
      </x:c>
      <x:c r="J361" s="3" t="str">
        <x:v>Not executed in this audit; this is a release checklist item</x:v>
      </x:c>
      <x:c r="K361" s="3" t="str"/>
      <x:c r="L361" s="3" t="str">
        <x:v>Audit coverage plan</x:v>
      </x:c>
      <x:c r="M361" s="3" t="str"/>
      <x:c r="N361" s="10" t="str">
        <x:v>Not run</x:v>
      </x:c>
      <x:c r="O361" s="10" t="str"/>
      <x:c r="P361" s="10" t="str"/>
    </x:row>
    <x:row r="362" ht="66" customHeight="1">
      <x:c r="A362" s="3" t="str">
        <x:v>PLAN-033</x:v>
      </x:c>
      <x:c r="B362" s="3" t="str">
        <x:v>Not run</x:v>
      </x:c>
      <x:c r="C362" s="3" t="str">
        <x:v>Execution and grading</x:v>
      </x:c>
      <x:c r="D362" s="3" t="str">
        <x:v>Memory limit across Java/Python/C++</x:v>
      </x:c>
      <x:c r="E362" s="3" t="str">
        <x:v>Student / worker</x:v>
      </x:c>
      <x:c r="F362" s="3" t="str">
        <x:v>Planned release verification</x:v>
      </x:c>
      <x:c r="G362" s="3" t="str">
        <x:v>Run below/at/above supported limits in each language</x:v>
      </x:c>
      <x:c r="H362" s="3" t="str">
        <x:v>Temporary data / isolated environment; agree unspecified policy or limits first</x:v>
      </x:c>
      <x:c r="I362" s="3" t="str">
        <x:v>Judge enforces the limit shown in the interface</x:v>
      </x:c>
      <x:c r="J362" s="3" t="str">
        <x:v>Not executed in this audit; this is a release checklist item</x:v>
      </x:c>
      <x:c r="K362" s="3" t="str"/>
      <x:c r="L362" s="3" t="str">
        <x:v>Audit coverage plan</x:v>
      </x:c>
      <x:c r="M362" s="3" t="str"/>
      <x:c r="N362" s="10" t="str">
        <x:v>Not run</x:v>
      </x:c>
      <x:c r="O362" s="10" t="str"/>
      <x:c r="P362" s="10" t="str"/>
    </x:row>
    <x:row r="363" ht="66" customHeight="1">
      <x:c r="A363" s="3" t="str">
        <x:v>PLAN-034</x:v>
      </x:c>
      <x:c r="B363" s="3" t="str">
        <x:v>Not run</x:v>
      </x:c>
      <x:c r="C363" s="3" t="str">
        <x:v>Execution and grading</x:v>
      </x:c>
      <x:c r="D363" s="3" t="str">
        <x:v>CPU time boundary in all languages</x:v>
      </x:c>
      <x:c r="E363" s="3" t="str">
        <x:v>Student / worker</x:v>
      </x:c>
      <x:c r="F363" s="3" t="str">
        <x:v>Planned release verification</x:v>
      </x:c>
      <x:c r="G363" s="3" t="str">
        <x:v>Run controlled programs near each configured timeout</x:v>
      </x:c>
      <x:c r="H363" s="3" t="str">
        <x:v>Temporary data / isolated environment; agree unspecified policy or limits first</x:v>
      </x:c>
      <x:c r="I363" s="3" t="str">
        <x:v>Timing and marks follow the documented limits</x:v>
      </x:c>
      <x:c r="J363" s="3" t="str">
        <x:v>Not executed in this audit; this is a release checklist item</x:v>
      </x:c>
      <x:c r="K363" s="3" t="str"/>
      <x:c r="L363" s="3" t="str">
        <x:v>Audit coverage plan</x:v>
      </x:c>
      <x:c r="M363" s="3" t="str"/>
      <x:c r="N363" s="10" t="str">
        <x:v>Not run</x:v>
      </x:c>
      <x:c r="O363" s="10" t="str"/>
      <x:c r="P363" s="10" t="str"/>
    </x:row>
    <x:row r="364" ht="66" customHeight="1">
      <x:c r="A364" s="3" t="str">
        <x:v>PLAN-035</x:v>
      </x:c>
      <x:c r="B364" s="3" t="str">
        <x:v>Not run</x:v>
      </x:c>
      <x:c r="C364" s="3" t="str">
        <x:v>Execution and grading</x:v>
      </x:c>
      <x:c r="D364" s="3" t="str">
        <x:v>Large stdout/stderr</x:v>
      </x:c>
      <x:c r="E364" s="3" t="str">
        <x:v>Student / worker</x:v>
      </x:c>
      <x:c r="F364" s="3" t="str">
        <x:v>Planned release verification</x:v>
      </x:c>
      <x:c r="G364" s="3" t="str">
        <x:v>Emit output at and above the agreed output cap</x:v>
      </x:c>
      <x:c r="H364" s="3" t="str">
        <x:v>Temporary data / isolated environment; agree unspecified policy or limits first</x:v>
      </x:c>
      <x:c r="I364" s="3" t="str">
        <x:v>Execution is bounded; UI/API remain responsive and hide hidden details</x:v>
      </x:c>
      <x:c r="J364" s="3" t="str">
        <x:v>Not executed in this audit; this is a release checklist item</x:v>
      </x:c>
      <x:c r="K364" s="3" t="str"/>
      <x:c r="L364" s="3" t="str">
        <x:v>Audit coverage plan</x:v>
      </x:c>
      <x:c r="M364" s="3" t="str"/>
      <x:c r="N364" s="10" t="str">
        <x:v>Not run</x:v>
      </x:c>
      <x:c r="O364" s="10" t="str"/>
      <x:c r="P364" s="10" t="str"/>
    </x:row>
    <x:row r="365" ht="66" customHeight="1">
      <x:c r="A365" s="3" t="str">
        <x:v>PLAN-036</x:v>
      </x:c>
      <x:c r="B365" s="3" t="str">
        <x:v>Not run</x:v>
      </x:c>
      <x:c r="C365" s="3" t="str">
        <x:v>Execution and grading</x:v>
      </x:c>
      <x:c r="D365" s="3" t="str">
        <x:v>Filesystem isolation</x:v>
      </x:c>
      <x:c r="E365" s="3" t="str">
        <x:v>Student / worker</x:v>
      </x:c>
      <x:c r="F365" s="3" t="str">
        <x:v>Planned release verification</x:v>
      </x:c>
      <x:c r="G365" s="3" t="str">
        <x:v>Use isolated test submissions attempting access outside their sandbox</x:v>
      </x:c>
      <x:c r="H365" s="3" t="str">
        <x:v>Temporary data / isolated environment; agree unspecified policy or limits first</x:v>
      </x:c>
      <x:c r="I365" s="3" t="str">
        <x:v>No host or other submission files are accessible</x:v>
      </x:c>
      <x:c r="J365" s="3" t="str">
        <x:v>Not executed in this audit; this is a release checklist item</x:v>
      </x:c>
      <x:c r="K365" s="3" t="str"/>
      <x:c r="L365" s="3" t="str">
        <x:v>Audit coverage plan</x:v>
      </x:c>
      <x:c r="M365" s="3" t="str"/>
      <x:c r="N365" s="10" t="str">
        <x:v>Not run</x:v>
      </x:c>
      <x:c r="O365" s="10" t="str"/>
      <x:c r="P365" s="10" t="str"/>
    </x:row>
    <x:row r="366" ht="66" customHeight="1">
      <x:c r="A366" s="3" t="str">
        <x:v>PLAN-037</x:v>
      </x:c>
      <x:c r="B366" s="3" t="str">
        <x:v>Not run</x:v>
      </x:c>
      <x:c r="C366" s="3" t="str">
        <x:v>Execution and grading</x:v>
      </x:c>
      <x:c r="D366" s="3" t="str">
        <x:v>Network isolation</x:v>
      </x:c>
      <x:c r="E366" s="3" t="str">
        <x:v>Student / worker</x:v>
      </x:c>
      <x:c r="F366" s="3" t="str">
        <x:v>Planned release verification</x:v>
      </x:c>
      <x:c r="G366" s="3" t="str">
        <x:v>Use isolated submissions attempting external/private network access</x:v>
      </x:c>
      <x:c r="H366" s="3" t="str">
        <x:v>Temporary data / isolated environment; agree unspecified policy or limits first</x:v>
      </x:c>
      <x:c r="I366" s="3" t="str">
        <x:v>Access follows the documented sandbox network policy</x:v>
      </x:c>
      <x:c r="J366" s="3" t="str">
        <x:v>Not executed in this audit; this is a release checklist item</x:v>
      </x:c>
      <x:c r="K366" s="3" t="str"/>
      <x:c r="L366" s="3" t="str">
        <x:v>Audit coverage plan</x:v>
      </x:c>
      <x:c r="M366" s="3" t="str"/>
      <x:c r="N366" s="10" t="str">
        <x:v>Not run</x:v>
      </x:c>
      <x:c r="O366" s="10" t="str"/>
      <x:c r="P366" s="10" t="str"/>
    </x:row>
    <x:row r="367" ht="66" customHeight="1">
      <x:c r="A367" s="3" t="str">
        <x:v>PLAN-038</x:v>
      </x:c>
      <x:c r="B367" s="3" t="str">
        <x:v>Not run</x:v>
      </x:c>
      <x:c r="C367" s="3" t="str">
        <x:v>Execution and grading</x:v>
      </x:c>
      <x:c r="D367" s="3" t="str">
        <x:v>Worker restart during execution</x:v>
      </x:c>
      <x:c r="E367" s="3" t="str">
        <x:v>Student / worker</x:v>
      </x:c>
      <x:c r="F367" s="3" t="str">
        <x:v>Planned release verification</x:v>
      </x:c>
      <x:c r="G367" s="3" t="str">
        <x:v>Restart a worker during temporary jobs</x:v>
      </x:c>
      <x:c r="H367" s="3" t="str">
        <x:v>Temporary data / isolated environment; agree unspecified policy or limits first</x:v>
      </x:c>
      <x:c r="I367" s="3" t="str">
        <x:v>Jobs retry/recover without duplicate marks or indefinite pending status</x:v>
      </x:c>
      <x:c r="J367" s="3" t="str">
        <x:v>Not executed in this audit; this is a release checklist item</x:v>
      </x:c>
      <x:c r="K367" s="3" t="str"/>
      <x:c r="L367" s="3" t="str">
        <x:v>Audit coverage plan</x:v>
      </x:c>
      <x:c r="M367" s="3" t="str"/>
      <x:c r="N367" s="10" t="str">
        <x:v>Not run</x:v>
      </x:c>
      <x:c r="O367" s="10" t="str"/>
      <x:c r="P367" s="10" t="str"/>
    </x:row>
    <x:row r="368" ht="66" customHeight="1">
      <x:c r="A368" s="3" t="str">
        <x:v>PLAN-039</x:v>
      </x:c>
      <x:c r="B368" s="3" t="str">
        <x:v>Not run</x:v>
      </x:c>
      <x:c r="C368" s="3" t="str">
        <x:v>Execution and grading</x:v>
      </x:c>
      <x:c r="D368" s="3" t="str">
        <x:v>Duplicate submit clicks</x:v>
      </x:c>
      <x:c r="E368" s="3" t="str">
        <x:v>Student / worker</x:v>
      </x:c>
      <x:c r="F368" s="3" t="str">
        <x:v>Planned release verification</x:v>
      </x:c>
      <x:c r="G368" s="3" t="str">
        <x:v>Click Submit repeatedly and replay the same request</x:v>
      </x:c>
      <x:c r="H368" s="3" t="str">
        <x:v>Temporary data / isolated environment; agree unspecified policy or limits first</x:v>
      </x:c>
      <x:c r="I368" s="3" t="str">
        <x:v>Apply agreed idempotency policy and avoid confusing duplicates</x:v>
      </x:c>
      <x:c r="J368" s="3" t="str">
        <x:v>Not executed in this audit; this is a release checklist item</x:v>
      </x:c>
      <x:c r="K368" s="3" t="str"/>
      <x:c r="L368" s="3" t="str">
        <x:v>Audit coverage plan</x:v>
      </x:c>
      <x:c r="M368" s="3" t="str"/>
      <x:c r="N368" s="10" t="str">
        <x:v>Not run</x:v>
      </x:c>
      <x:c r="O368" s="10" t="str"/>
      <x:c r="P368" s="10" t="str"/>
    </x:row>
    <x:row r="369" ht="66" customHeight="1">
      <x:c r="A369" s="3" t="str">
        <x:v>PLAN-040</x:v>
      </x:c>
      <x:c r="B369" s="3" t="str">
        <x:v>Not run</x:v>
      </x:c>
      <x:c r="C369" s="3" t="str">
        <x:v>Execution and grading</x:v>
      </x:c>
      <x:c r="D369" s="3" t="str">
        <x:v>Simultaneous submissions and queue load</x:v>
      </x:c>
      <x:c r="E369" s="3" t="str">
        <x:v>Student / worker</x:v>
      </x:c>
      <x:c r="F369" s="3" t="str">
        <x:v>Planned release verification</x:v>
      </x:c>
      <x:c r="G369" s="3" t="str">
        <x:v>Submit a documented concurrency level from temporary accounts</x:v>
      </x:c>
      <x:c r="H369" s="3" t="str">
        <x:v>Temporary data / isolated environment; agree unspecified policy or limits first</x:v>
      </x:c>
      <x:c r="I369" s="3" t="str">
        <x:v>Queue remains bounded, fair and recoverable under the agreed load</x:v>
      </x:c>
      <x:c r="J369" s="3" t="str">
        <x:v>Not executed in this audit; this is a release checklist item</x:v>
      </x:c>
      <x:c r="K369" s="3" t="str"/>
      <x:c r="L369" s="3" t="str">
        <x:v>Audit coverage plan</x:v>
      </x:c>
      <x:c r="M369" s="3" t="str"/>
      <x:c r="N369" s="10" t="str">
        <x:v>Not run</x:v>
      </x:c>
      <x:c r="O369" s="10" t="str"/>
      <x:c r="P369" s="10" t="str"/>
    </x:row>
    <x:row r="370" ht="66" customHeight="1">
      <x:c r="A370" s="3" t="str">
        <x:v>PLAN-041</x:v>
      </x:c>
      <x:c r="B370" s="3" t="str">
        <x:v>Not run</x:v>
      </x:c>
      <x:c r="C370" s="3" t="str">
        <x:v>Drafts and recovery</x:v>
      </x:c>
      <x:c r="D370" s="3" t="str">
        <x:v>Draft reload persistence</x:v>
      </x:c>
      <x:c r="E370" s="3" t="str">
        <x:v>Student</x:v>
      </x:c>
      <x:c r="F370" s="3" t="str">
        <x:v>Planned release verification</x:v>
      </x:c>
      <x:c r="G370" s="3" t="str">
        <x:v>Save each language, refresh and relogin</x:v>
      </x:c>
      <x:c r="H370" s="3" t="str">
        <x:v>Temporary data / isolated environment; agree unspecified policy or limits first</x:v>
      </x:c>
      <x:c r="I370" s="3" t="str">
        <x:v>Each language restores its own latest saved source</x:v>
      </x:c>
      <x:c r="J370" s="3" t="str">
        <x:v>Not executed in this audit; this is a release checklist item</x:v>
      </x:c>
      <x:c r="K370" s="3" t="str"/>
      <x:c r="L370" s="3" t="str">
        <x:v>Audit coverage plan</x:v>
      </x:c>
      <x:c r="M370" s="3" t="str"/>
      <x:c r="N370" s="10" t="str">
        <x:v>Not run</x:v>
      </x:c>
      <x:c r="O370" s="10" t="str"/>
      <x:c r="P370" s="10" t="str"/>
    </x:row>
    <x:row r="371" ht="66" customHeight="1">
      <x:c r="A371" s="3" t="str">
        <x:v>PLAN-042</x:v>
      </x:c>
      <x:c r="B371" s="3" t="str">
        <x:v>Not run</x:v>
      </x:c>
      <x:c r="C371" s="3" t="str">
        <x:v>Drafts and recovery</x:v>
      </x:c>
      <x:c r="D371" s="3" t="str">
        <x:v>Offline draft save</x:v>
      </x:c>
      <x:c r="E371" s="3" t="str">
        <x:v>Student</x:v>
      </x:c>
      <x:c r="F371" s="3" t="str">
        <x:v>Planned release verification</x:v>
      </x:c>
      <x:c r="G371" s="3" t="str">
        <x:v>Disconnect during Save and reconnect</x:v>
      </x:c>
      <x:c r="H371" s="3" t="str">
        <x:v>Temporary data / isolated environment; agree unspecified policy or limits first</x:v>
      </x:c>
      <x:c r="I371" s="3" t="str">
        <x:v>Show truthful failure/retry behavior without losing local text</x:v>
      </x:c>
      <x:c r="J371" s="3" t="str">
        <x:v>Not executed in this audit; this is a release checklist item</x:v>
      </x:c>
      <x:c r="K371" s="3" t="str"/>
      <x:c r="L371" s="3" t="str">
        <x:v>Audit coverage plan</x:v>
      </x:c>
      <x:c r="M371" s="3" t="str"/>
      <x:c r="N371" s="10" t="str">
        <x:v>Not run</x:v>
      </x:c>
      <x:c r="O371" s="10" t="str"/>
      <x:c r="P371" s="10" t="str"/>
    </x:row>
    <x:row r="372" ht="66" customHeight="1">
      <x:c r="A372" s="3" t="str">
        <x:v>PLAN-043</x:v>
      </x:c>
      <x:c r="B372" s="3" t="str">
        <x:v>Not run</x:v>
      </x:c>
      <x:c r="C372" s="3" t="str">
        <x:v>Drafts and recovery</x:v>
      </x:c>
      <x:c r="D372" s="3" t="str">
        <x:v>Slow save then language switch</x:v>
      </x:c>
      <x:c r="E372" s="3" t="str">
        <x:v>Student</x:v>
      </x:c>
      <x:c r="F372" s="3" t="str">
        <x:v>Planned release verification</x:v>
      </x:c>
      <x:c r="G372" s="3" t="str">
        <x:v>Delay save response while switching language/problem</x:v>
      </x:c>
      <x:c r="H372" s="3" t="str">
        <x:v>Temporary data / isolated environment; agree unspecified policy or limits first</x:v>
      </x:c>
      <x:c r="I372" s="3" t="str">
        <x:v>No stale response overwrites another language or problem</x:v>
      </x:c>
      <x:c r="J372" s="3" t="str">
        <x:v>Not executed in this audit; this is a release checklist item</x:v>
      </x:c>
      <x:c r="K372" s="3" t="str"/>
      <x:c r="L372" s="3" t="str">
        <x:v>Audit coverage plan</x:v>
      </x:c>
      <x:c r="M372" s="3" t="str"/>
      <x:c r="N372" s="10" t="str">
        <x:v>Not run</x:v>
      </x:c>
      <x:c r="O372" s="10" t="str"/>
      <x:c r="P372" s="10" t="str"/>
    </x:row>
    <x:row r="373" ht="66" customHeight="1">
      <x:c r="A373" s="3" t="str">
        <x:v>PLAN-044</x:v>
      </x:c>
      <x:c r="B373" s="3" t="str">
        <x:v>Not run</x:v>
      </x:c>
      <x:c r="C373" s="3" t="str">
        <x:v>Drafts and recovery</x:v>
      </x:c>
      <x:c r="D373" s="3" t="str">
        <x:v>Two-tab draft conflict</x:v>
      </x:c>
      <x:c r="E373" s="3" t="str">
        <x:v>Student</x:v>
      </x:c>
      <x:c r="F373" s="3" t="str">
        <x:v>Planned release verification</x:v>
      </x:c>
      <x:c r="G373" s="3" t="str">
        <x:v>Edit/save the same draft in two tabs</x:v>
      </x:c>
      <x:c r="H373" s="3" t="str">
        <x:v>Temporary data / isolated environment; agree unspecified policy or limits first</x:v>
      </x:c>
      <x:c r="I373" s="3" t="str">
        <x:v>Document conflict behavior and prevent unnoticed stale overwrites</x:v>
      </x:c>
      <x:c r="J373" s="3" t="str">
        <x:v>Not executed in this audit; this is a release checklist item</x:v>
      </x:c>
      <x:c r="K373" s="3" t="str"/>
      <x:c r="L373" s="3" t="str">
        <x:v>Audit coverage plan</x:v>
      </x:c>
      <x:c r="M373" s="3" t="str"/>
      <x:c r="N373" s="10" t="str">
        <x:v>Not run</x:v>
      </x:c>
      <x:c r="O373" s="10" t="str"/>
      <x:c r="P373" s="10" t="str"/>
    </x:row>
    <x:row r="374" ht="66" customHeight="1">
      <x:c r="A374" s="3" t="str">
        <x:v>PLAN-045</x:v>
      </x:c>
      <x:c r="B374" s="3" t="str">
        <x:v>Not run</x:v>
      </x:c>
      <x:c r="C374" s="3" t="str">
        <x:v>Drafts and recovery</x:v>
      </x:c>
      <x:c r="D374" s="3" t="str">
        <x:v>Storage quota/private mode</x:v>
      </x:c>
      <x:c r="E374" s="3" t="str">
        <x:v>Student</x:v>
      </x:c>
      <x:c r="F374" s="3" t="str">
        <x:v>Planned release verification</x:v>
      </x:c>
      <x:c r="G374" s="3" t="str">
        <x:v>Exercise restricted or full browser storage</x:v>
      </x:c>
      <x:c r="H374" s="3" t="str">
        <x:v>Temporary data / isolated environment; agree unspecified policy or limits first</x:v>
      </x:c>
      <x:c r="I374" s="3" t="str">
        <x:v>Editor recovers with useful messaging and preserves current text</x:v>
      </x:c>
      <x:c r="J374" s="3" t="str">
        <x:v>Not executed in this audit; this is a release checklist item</x:v>
      </x:c>
      <x:c r="K374" s="3" t="str"/>
      <x:c r="L374" s="3" t="str">
        <x:v>Audit coverage plan</x:v>
      </x:c>
      <x:c r="M374" s="3" t="str"/>
      <x:c r="N374" s="10" t="str">
        <x:v>Not run</x:v>
      </x:c>
      <x:c r="O374" s="10" t="str"/>
      <x:c r="P374" s="10" t="str"/>
    </x:row>
    <x:row r="375" ht="66" customHeight="1">
      <x:c r="A375" s="3" t="str">
        <x:v>PLAN-046</x:v>
      </x:c>
      <x:c r="B375" s="3" t="str">
        <x:v>Not run</x:v>
      </x:c>
      <x:c r="C375" s="3" t="str">
        <x:v>Drafts and recovery</x:v>
      </x:c>
      <x:c r="D375" s="3" t="str">
        <x:v>Invalid stored draft response</x:v>
      </x:c>
      <x:c r="E375" s="3" t="str">
        <x:v>Student</x:v>
      </x:c>
      <x:c r="F375" s="3" t="str">
        <x:v>Planned release verification</x:v>
      </x:c>
      <x:c r="G375" s="3" t="str">
        <x:v>Inject null/object/missing language fields</x:v>
      </x:c>
      <x:c r="H375" s="3" t="str">
        <x:v>Temporary data / isolated environment; agree unspecified policy or limits first</x:v>
      </x:c>
      <x:c r="I375" s="3" t="str">
        <x:v>Editor handles invalid data safely without a blank page</x:v>
      </x:c>
      <x:c r="J375" s="3" t="str">
        <x:v>Not executed in this audit; this is a release checklist item</x:v>
      </x:c>
      <x:c r="K375" s="3" t="str"/>
      <x:c r="L375" s="3" t="str">
        <x:v>Audit coverage plan</x:v>
      </x:c>
      <x:c r="M375" s="3" t="str"/>
      <x:c r="N375" s="10" t="str">
        <x:v>Not run</x:v>
      </x:c>
      <x:c r="O375" s="10" t="str"/>
      <x:c r="P375" s="10" t="str"/>
    </x:row>
    <x:row r="376" ht="66" customHeight="1">
      <x:c r="A376" s="3" t="str">
        <x:v>PLAN-047</x:v>
      </x:c>
      <x:c r="B376" s="3" t="str">
        <x:v>Not run</x:v>
      </x:c>
      <x:c r="C376" s="3" t="str">
        <x:v>Drafts and recovery</x:v>
      </x:c>
      <x:c r="D376" s="3" t="str">
        <x:v>Navigation with unsaved source</x:v>
      </x:c>
      <x:c r="E376" s="3" t="str">
        <x:v>Student</x:v>
      </x:c>
      <x:c r="F376" s="3" t="str">
        <x:v>Planned release verification</x:v>
      </x:c>
      <x:c r="G376" s="3" t="str">
        <x:v>Navigate away and back after an unsaved edit</x:v>
      </x:c>
      <x:c r="H376" s="3" t="str">
        <x:v>Temporary data / isolated environment; agree unspecified policy or limits first</x:v>
      </x:c>
      <x:c r="I376" s="3" t="str">
        <x:v>Follow agreed autosave/warning policy and avoid unexpected loss</x:v>
      </x:c>
      <x:c r="J376" s="3" t="str">
        <x:v>Not executed in this audit; this is a release checklist item</x:v>
      </x:c>
      <x:c r="K376" s="3" t="str"/>
      <x:c r="L376" s="3" t="str">
        <x:v>Audit coverage plan</x:v>
      </x:c>
      <x:c r="M376" s="3" t="str"/>
      <x:c r="N376" s="10" t="str">
        <x:v>Not run</x:v>
      </x:c>
      <x:c r="O376" s="10" t="str"/>
      <x:c r="P376" s="10" t="str"/>
    </x:row>
    <x:row r="377" ht="66" customHeight="1">
      <x:c r="A377" s="3" t="str">
        <x:v>PLAN-048</x:v>
      </x:c>
      <x:c r="B377" s="3" t="str">
        <x:v>Not run</x:v>
      </x:c>
      <x:c r="C377" s="3" t="str">
        <x:v>Drafts and recovery</x:v>
      </x:c>
      <x:c r="D377" s="3" t="str">
        <x:v>Very large source file</x:v>
      </x:c>
      <x:c r="E377" s="3" t="str">
        <x:v>Student</x:v>
      </x:c>
      <x:c r="F377" s="3" t="str">
        <x:v>Planned release verification</x:v>
      </x:c>
      <x:c r="G377" s="3" t="str">
        <x:v>Paste code near/above the agreed source-size limit</x:v>
      </x:c>
      <x:c r="H377" s="3" t="str">
        <x:v>Temporary data / isolated environment; agree unspecified policy or limits first</x:v>
      </x:c>
      <x:c r="I377" s="3" t="str">
        <x:v>Reject or support it clearly without freezing the interface</x:v>
      </x:c>
      <x:c r="J377" s="3" t="str">
        <x:v>Not executed in this audit; this is a release checklist item</x:v>
      </x:c>
      <x:c r="K377" s="3" t="str"/>
      <x:c r="L377" s="3" t="str">
        <x:v>Audit coverage plan</x:v>
      </x:c>
      <x:c r="M377" s="3" t="str"/>
      <x:c r="N377" s="10" t="str">
        <x:v>Not run</x:v>
      </x:c>
      <x:c r="O377" s="10" t="str"/>
      <x:c r="P377" s="10" t="str"/>
    </x:row>
    <x:row r="378" ht="66" customHeight="1">
      <x:c r="A378" s="3" t="str">
        <x:v>PLAN-049</x:v>
      </x:c>
      <x:c r="B378" s="3" t="str">
        <x:v>Not run</x:v>
      </x:c>
      <x:c r="C378" s="3" t="str">
        <x:v>Profile, history and rankings</x:v>
      </x:c>
      <x:c r="D378" s="3" t="str">
        <x:v>Avatar replacement failure</x:v>
      </x:c>
      <x:c r="E378" s="3" t="str">
        <x:v>All roles</x:v>
      </x:c>
      <x:c r="F378" s="3" t="str">
        <x:v>Planned release verification</x:v>
      </x:c>
      <x:c r="G378" s="3" t="str">
        <x:v>Fail validation/storage during replacement</x:v>
      </x:c>
      <x:c r="H378" s="3" t="str">
        <x:v>Temporary data / isolated environment; agree unspecified policy or limits first</x:v>
      </x:c>
      <x:c r="I378" s="3" t="str">
        <x:v>The existing avatar survives and no broken file reference persists</x:v>
      </x:c>
      <x:c r="J378" s="3" t="str">
        <x:v>Not executed in this audit; this is a release checklist item</x:v>
      </x:c>
      <x:c r="K378" s="3" t="str"/>
      <x:c r="L378" s="3" t="str">
        <x:v>Audit coverage plan</x:v>
      </x:c>
      <x:c r="M378" s="3" t="str"/>
      <x:c r="N378" s="10" t="str">
        <x:v>Not run</x:v>
      </x:c>
      <x:c r="O378" s="10" t="str"/>
      <x:c r="P378" s="10" t="str"/>
    </x:row>
    <x:row r="379" ht="66" customHeight="1">
      <x:c r="A379" s="3" t="str">
        <x:v>PLAN-050</x:v>
      </x:c>
      <x:c r="B379" s="3" t="str">
        <x:v>Not run</x:v>
      </x:c>
      <x:c r="C379" s="3" t="str">
        <x:v>Profile, history and rankings</x:v>
      </x:c>
      <x:c r="D379" s="3" t="str">
        <x:v>Avatar file-size boundary</x:v>
      </x:c>
      <x:c r="E379" s="3" t="str">
        <x:v>All roles</x:v>
      </x:c>
      <x:c r="F379" s="3" t="str">
        <x:v>Planned release verification</x:v>
      </x:c>
      <x:c r="G379" s="3" t="str">
        <x:v>Upload images near the agreed size/resolution caps</x:v>
      </x:c>
      <x:c r="H379" s="3" t="str">
        <x:v>Temporary data / isolated environment; agree unspecified policy or limits first</x:v>
      </x:c>
      <x:c r="I379" s="3" t="str">
        <x:v>Enforce documented limits with a useful message</x:v>
      </x:c>
      <x:c r="J379" s="3" t="str">
        <x:v>Not executed in this audit; this is a release checklist item</x:v>
      </x:c>
      <x:c r="K379" s="3" t="str"/>
      <x:c r="L379" s="3" t="str">
        <x:v>Audit coverage plan</x:v>
      </x:c>
      <x:c r="M379" s="3" t="str"/>
      <x:c r="N379" s="10" t="str">
        <x:v>Not run</x:v>
      </x:c>
      <x:c r="O379" s="10" t="str"/>
      <x:c r="P379" s="10" t="str"/>
    </x:row>
    <x:row r="380" ht="66" customHeight="1">
      <x:c r="A380" s="3" t="str">
        <x:v>PLAN-051</x:v>
      </x:c>
      <x:c r="B380" s="3" t="str">
        <x:v>Not run</x:v>
      </x:c>
      <x:c r="C380" s="3" t="str">
        <x:v>Profile, history and rankings</x:v>
      </x:c>
      <x:c r="D380" s="3" t="str">
        <x:v>Profile unsafe content rendering</x:v>
      </x:c>
      <x:c r="E380" s="3" t="str">
        <x:v>All roles</x:v>
      </x:c>
      <x:c r="F380" s="3" t="str">
        <x:v>Planned release verification</x:v>
      </x:c>
      <x:c r="G380" s="3" t="str">
        <x:v>Render URL/HTML-looking text in every profile display</x:v>
      </x:c>
      <x:c r="H380" s="3" t="str">
        <x:v>Temporary data / isolated environment; agree unspecified policy or limits first</x:v>
      </x:c>
      <x:c r="I380" s="3" t="str">
        <x:v>No executable content or unsafe navigation is introduced</x:v>
      </x:c>
      <x:c r="J380" s="3" t="str">
        <x:v>Not executed in this audit; this is a release checklist item</x:v>
      </x:c>
      <x:c r="K380" s="3" t="str"/>
      <x:c r="L380" s="3" t="str">
        <x:v>Audit coverage plan</x:v>
      </x:c>
      <x:c r="M380" s="3" t="str"/>
      <x:c r="N380" s="10" t="str">
        <x:v>Not run</x:v>
      </x:c>
      <x:c r="O380" s="10" t="str"/>
      <x:c r="P380" s="10" t="str"/>
    </x:row>
    <x:row r="381" ht="66" customHeight="1">
      <x:c r="A381" s="3" t="str">
        <x:v>PLAN-052</x:v>
      </x:c>
      <x:c r="B381" s="3" t="str">
        <x:v>Not run</x:v>
      </x:c>
      <x:c r="C381" s="3" t="str">
        <x:v>Profile, history and rankings</x:v>
      </x:c>
      <x:c r="D381" s="3" t="str">
        <x:v>Leaderboard tie policy</x:v>
      </x:c>
      <x:c r="E381" s="3" t="str">
        <x:v>All roles</x:v>
      </x:c>
      <x:c r="F381" s="3" t="str">
        <x:v>Planned release verification</x:v>
      </x:c>
      <x:c r="G381" s="3" t="str">
        <x:v>Create equal scores with differing submission times</x:v>
      </x:c>
      <x:c r="H381" s="3" t="str">
        <x:v>Temporary data / isolated environment; agree unspecified policy or limits first</x:v>
      </x:c>
      <x:c r="I381" s="3" t="str">
        <x:v>Ranks follow a documented stable tie-break policy</x:v>
      </x:c>
      <x:c r="J381" s="3" t="str">
        <x:v>Not executed in this audit; this is a release checklist item</x:v>
      </x:c>
      <x:c r="K381" s="3" t="str"/>
      <x:c r="L381" s="3" t="str">
        <x:v>Audit coverage plan</x:v>
      </x:c>
      <x:c r="M381" s="3" t="str"/>
      <x:c r="N381" s="10" t="str">
        <x:v>Not run</x:v>
      </x:c>
      <x:c r="O381" s="10" t="str"/>
      <x:c r="P381" s="10" t="str"/>
    </x:row>
    <x:row r="382" ht="66" customHeight="1">
      <x:c r="A382" s="3" t="str">
        <x:v>PLAN-053</x:v>
      </x:c>
      <x:c r="B382" s="3" t="str">
        <x:v>Not run</x:v>
      </x:c>
      <x:c r="C382" s="3" t="str">
        <x:v>Profile, history and rankings</x:v>
      </x:c>
      <x:c r="D382" s="3" t="str">
        <x:v>Export content and escaping</x:v>
      </x:c>
      <x:c r="E382" s="3" t="str">
        <x:v>All roles</x:v>
      </x:c>
      <x:c r="F382" s="3" t="str">
        <x:v>Planned release verification</x:v>
      </x:c>
      <x:c r="G382" s="3" t="str">
        <x:v>Parse PDF/XLSX exports containing Unicode and formula-looking identifiers</x:v>
      </x:c>
      <x:c r="H382" s="3" t="str">
        <x:v>Temporary data / isolated environment; agree unspecified policy or limits first</x:v>
      </x:c>
      <x:c r="I382" s="3" t="str">
        <x:v>Counts, ranks, timezones and text match the source without formula execution</x:v>
      </x:c>
      <x:c r="J382" s="3" t="str">
        <x:v>Not executed in this audit; this is a release checklist item</x:v>
      </x:c>
      <x:c r="K382" s="3" t="str"/>
      <x:c r="L382" s="3" t="str">
        <x:v>Audit coverage plan</x:v>
      </x:c>
      <x:c r="M382" s="3" t="str"/>
      <x:c r="N382" s="10" t="str">
        <x:v>Not run</x:v>
      </x:c>
      <x:c r="O382" s="10" t="str"/>
      <x:c r="P382" s="10" t="str"/>
    </x:row>
    <x:row r="383" ht="66" customHeight="1">
      <x:c r="A383" s="3" t="str">
        <x:v>PLAN-054</x:v>
      </x:c>
      <x:c r="B383" s="3" t="str">
        <x:v>Not run</x:v>
      </x:c>
      <x:c r="C383" s="3" t="str">
        <x:v>Profile, history and rankings</x:v>
      </x:c>
      <x:c r="D383" s="3" t="str">
        <x:v>History pagination consistency</x:v>
      </x:c>
      <x:c r="E383" s="3" t="str">
        <x:v>All roles</x:v>
      </x:c>
      <x:c r="F383" s="3" t="str">
        <x:v>Planned release verification</x:v>
      </x:c>
      <x:c r="G383" s="3" t="str">
        <x:v>Navigate pages while new submissions arrive</x:v>
      </x:c>
      <x:c r="H383" s="3" t="str">
        <x:v>Temporary data / isolated environment; agree unspecified policy or limits first</x:v>
      </x:c>
      <x:c r="I383" s="3" t="str">
        <x:v>No misleading totals, duplicates or omissions under documented ordering</x:v>
      </x:c>
      <x:c r="J383" s="3" t="str">
        <x:v>Not executed in this audit; this is a release checklist item</x:v>
      </x:c>
      <x:c r="K383" s="3" t="str"/>
      <x:c r="L383" s="3" t="str">
        <x:v>Audit coverage plan</x:v>
      </x:c>
      <x:c r="M383" s="3" t="str"/>
      <x:c r="N383" s="10" t="str">
        <x:v>Not run</x:v>
      </x:c>
      <x:c r="O383" s="10" t="str"/>
      <x:c r="P383" s="10" t="str"/>
    </x:row>
    <x:row r="384" ht="66" customHeight="1">
      <x:c r="A384" s="3" t="str">
        <x:v>PLAN-055</x:v>
      </x:c>
      <x:c r="B384" s="3" t="str">
        <x:v>Not run</x:v>
      </x:c>
      <x:c r="C384" s="3" t="str">
        <x:v>Profile, history and rankings</x:v>
      </x:c>
      <x:c r="D384" s="3" t="str">
        <x:v>Unknown status in every view</x:v>
      </x:c>
      <x:c r="E384" s="3" t="str">
        <x:v>All roles</x:v>
      </x:c>
      <x:c r="F384" s="3" t="str">
        <x:v>Planned release verification</x:v>
      </x:c>
      <x:c r="G384" s="3" t="str">
        <x:v>Inject missing/unknown statuses into history/profile/results</x:v>
      </x:c>
      <x:c r="H384" s="3" t="str">
        <x:v>Temporary data / isolated environment; agree unspecified policy or limits first</x:v>
      </x:c>
      <x:c r="I384" s="3" t="str">
        <x:v>Every view shows a truthful unavailable state</x:v>
      </x:c>
      <x:c r="J384" s="3" t="str">
        <x:v>Not executed in this audit; this is a release checklist item</x:v>
      </x:c>
      <x:c r="K384" s="3" t="str"/>
      <x:c r="L384" s="3" t="str">
        <x:v>Audit coverage plan</x:v>
      </x:c>
      <x:c r="M384" s="3" t="str"/>
      <x:c r="N384" s="10" t="str">
        <x:v>Not run</x:v>
      </x:c>
      <x:c r="O384" s="10" t="str"/>
      <x:c r="P384" s="10" t="str"/>
    </x:row>
    <x:row r="385" ht="66" customHeight="1">
      <x:c r="A385" s="3" t="str">
        <x:v>PLAN-056</x:v>
      </x:c>
      <x:c r="B385" s="3" t="str">
        <x:v>Not run</x:v>
      </x:c>
      <x:c r="C385" s="3" t="str">
        <x:v>Profile, history and rankings</x:v>
      </x:c>
      <x:c r="D385" s="3" t="str">
        <x:v>Student profile privacy</x:v>
      </x:c>
      <x:c r="E385" s="3" t="str">
        <x:v>All roles</x:v>
      </x:c>
      <x:c r="F385" s="3" t="str">
        <x:v>Planned release verification</x:v>
      </x:c>
      <x:c r="G385" s="3" t="str">
        <x:v>Try another student’s profile/history identifiers</x:v>
      </x:c>
      <x:c r="H385" s="3" t="str">
        <x:v>Temporary data / isolated environment; agree unspecified policy or limits first</x:v>
      </x:c>
      <x:c r="I385" s="3" t="str">
        <x:v>Private fields and submissions follow documented visibility rules</x:v>
      </x:c>
      <x:c r="J385" s="3" t="str">
        <x:v>Not executed in this audit; this is a release checklist item</x:v>
      </x:c>
      <x:c r="K385" s="3" t="str"/>
      <x:c r="L385" s="3" t="str">
        <x:v>Audit coverage plan</x:v>
      </x:c>
      <x:c r="M385" s="3" t="str"/>
      <x:c r="N385" s="10" t="str">
        <x:v>Not run</x:v>
      </x:c>
      <x:c r="O385" s="10" t="str"/>
      <x:c r="P385" s="10" t="str"/>
    </x:row>
    <x:row r="386" ht="66" customHeight="1">
      <x:c r="A386" s="3" t="str">
        <x:v>PLAN-057</x:v>
      </x:c>
      <x:c r="B386" s="3" t="str">
        <x:v>Not run</x:v>
      </x:c>
      <x:c r="C386" s="3" t="str">
        <x:v>Accessibility and devices</x:v>
      </x:c>
      <x:c r="D386" s="3" t="str">
        <x:v>Keyboard-only complete workflows</x:v>
      </x:c>
      <x:c r="E386" s="3" t="str">
        <x:v>All roles</x:v>
      </x:c>
      <x:c r="F386" s="3" t="str">
        <x:v>Planned release verification</x:v>
      </x:c>
      <x:c r="G386" s="3" t="str">
        <x:v>Navigate login, authoring, assignment and editor without a mouse</x:v>
      </x:c>
      <x:c r="H386" s="3" t="str">
        <x:v>Temporary data / isolated environment; agree unspecified policy or limits first</x:v>
      </x:c>
      <x:c r="I386" s="3" t="str">
        <x:v>All actions are reachable with visible focus and no trap</x:v>
      </x:c>
      <x:c r="J386" s="3" t="str">
        <x:v>Not executed in this audit; this is a release checklist item</x:v>
      </x:c>
      <x:c r="K386" s="3" t="str"/>
      <x:c r="L386" s="3" t="str">
        <x:v>Audit coverage plan</x:v>
      </x:c>
      <x:c r="M386" s="3" t="str"/>
      <x:c r="N386" s="10" t="str">
        <x:v>Not run</x:v>
      </x:c>
      <x:c r="O386" s="10" t="str"/>
      <x:c r="P386" s="10" t="str"/>
    </x:row>
    <x:row r="387" ht="66" customHeight="1">
      <x:c r="A387" s="3" t="str">
        <x:v>PLAN-058</x:v>
      </x:c>
      <x:c r="B387" s="3" t="str">
        <x:v>Not run</x:v>
      </x:c>
      <x:c r="C387" s="3" t="str">
        <x:v>Accessibility and devices</x:v>
      </x:c>
      <x:c r="D387" s="3" t="str">
        <x:v>Screen reader forms and errors</x:v>
      </x:c>
      <x:c r="E387" s="3" t="str">
        <x:v>All roles</x:v>
      </x:c>
      <x:c r="F387" s="3" t="str">
        <x:v>Planned release verification</x:v>
      </x:c>
      <x:c r="G387" s="3" t="str">
        <x:v>Read labels, validation errors, dialogs and execution results</x:v>
      </x:c>
      <x:c r="H387" s="3" t="str">
        <x:v>Temporary data / isolated environment; agree unspecified policy or limits first</x:v>
      </x:c>
      <x:c r="I387" s="3" t="str">
        <x:v>Names/roles/status announcements are meaningful</x:v>
      </x:c>
      <x:c r="J387" s="3" t="str">
        <x:v>Not executed in this audit; this is a release checklist item</x:v>
      </x:c>
      <x:c r="K387" s="3" t="str"/>
      <x:c r="L387" s="3" t="str">
        <x:v>Audit coverage plan</x:v>
      </x:c>
      <x:c r="M387" s="3" t="str"/>
      <x:c r="N387" s="10" t="str">
        <x:v>Not run</x:v>
      </x:c>
      <x:c r="O387" s="10" t="str"/>
      <x:c r="P387" s="10" t="str"/>
    </x:row>
    <x:row r="388" ht="66" customHeight="1">
      <x:c r="A388" s="3" t="str">
        <x:v>PLAN-059</x:v>
      </x:c>
      <x:c r="B388" s="3" t="str">
        <x:v>Not run</x:v>
      </x:c>
      <x:c r="C388" s="3" t="str">
        <x:v>Accessibility and devices</x:v>
      </x:c>
      <x:c r="D388" s="3" t="str">
        <x:v>200% and 400% zoom</x:v>
      </x:c>
      <x:c r="E388" s="3" t="str">
        <x:v>All roles</x:v>
      </x:c>
      <x:c r="F388" s="3" t="str">
        <x:v>Planned release verification</x:v>
      </x:c>
      <x:c r="G388" s="3" t="str">
        <x:v>Zoom populated pages and dialogs</x:v>
      </x:c>
      <x:c r="H388" s="3" t="str">
        <x:v>Temporary data / isolated environment; agree unspecified policy or limits first</x:v>
      </x:c>
      <x:c r="I388" s="3" t="str">
        <x:v>Content and actions remain usable with appropriate reflow</x:v>
      </x:c>
      <x:c r="J388" s="3" t="str">
        <x:v>Not executed in this audit; this is a release checklist item</x:v>
      </x:c>
      <x:c r="K388" s="3" t="str"/>
      <x:c r="L388" s="3" t="str">
        <x:v>Audit coverage plan</x:v>
      </x:c>
      <x:c r="M388" s="3" t="str"/>
      <x:c r="N388" s="10" t="str">
        <x:v>Not run</x:v>
      </x:c>
      <x:c r="O388" s="10" t="str"/>
      <x:c r="P388" s="10" t="str"/>
    </x:row>
    <x:row r="389" ht="66" customHeight="1">
      <x:c r="A389" s="3" t="str">
        <x:v>PLAN-060</x:v>
      </x:c>
      <x:c r="B389" s="3" t="str">
        <x:v>Not run</x:v>
      </x:c>
      <x:c r="C389" s="3" t="str">
        <x:v>Accessibility and devices</x:v>
      </x:c>
      <x:c r="D389" s="3" t="str">
        <x:v>Contrast and focus visibility</x:v>
      </x:c>
      <x:c r="E389" s="3" t="str">
        <x:v>All roles</x:v>
      </x:c>
      <x:c r="F389" s="3" t="str">
        <x:v>Planned release verification</x:v>
      </x:c>
      <x:c r="G389" s="3" t="str">
        <x:v>Measure text, controls and focus in all relevant states</x:v>
      </x:c>
      <x:c r="H389" s="3" t="str">
        <x:v>Temporary data / isolated environment; agree unspecified policy or limits first</x:v>
      </x:c>
      <x:c r="I389" s="3" t="str">
        <x:v>Meet the agreed accessibility contrast requirements</x:v>
      </x:c>
      <x:c r="J389" s="3" t="str">
        <x:v>Not executed in this audit; this is a release checklist item</x:v>
      </x:c>
      <x:c r="K389" s="3" t="str"/>
      <x:c r="L389" s="3" t="str">
        <x:v>Audit coverage plan</x:v>
      </x:c>
      <x:c r="M389" s="3" t="str"/>
      <x:c r="N389" s="10" t="str">
        <x:v>Not run</x:v>
      </x:c>
      <x:c r="O389" s="10" t="str"/>
      <x:c r="P389" s="10" t="str"/>
    </x:row>
    <x:row r="390" ht="66" customHeight="1">
      <x:c r="A390" s="3" t="str">
        <x:v>PLAN-061</x:v>
      </x:c>
      <x:c r="B390" s="3" t="str">
        <x:v>Not run</x:v>
      </x:c>
      <x:c r="C390" s="3" t="str">
        <x:v>Accessibility and devices</x:v>
      </x:c>
      <x:c r="D390" s="3" t="str">
        <x:v>Chrome and Firefox workflows</x:v>
      </x:c>
      <x:c r="E390" s="3" t="str">
        <x:v>All roles</x:v>
      </x:c>
      <x:c r="F390" s="3" t="str">
        <x:v>Planned release verification</x:v>
      </x:c>
      <x:c r="G390" s="3" t="str">
        <x:v>Run main workflows in current Chrome and Firefox</x:v>
      </x:c>
      <x:c r="H390" s="3" t="str">
        <x:v>Temporary data / isolated environment; agree unspecified policy or limits first</x:v>
      </x:c>
      <x:c r="I390" s="3" t="str">
        <x:v>No browser-specific functional failures</x:v>
      </x:c>
      <x:c r="J390" s="3" t="str">
        <x:v>Not executed in this audit; this is a release checklist item</x:v>
      </x:c>
      <x:c r="K390" s="3" t="str"/>
      <x:c r="L390" s="3" t="str">
        <x:v>Audit coverage plan</x:v>
      </x:c>
      <x:c r="M390" s="3" t="str"/>
      <x:c r="N390" s="10" t="str">
        <x:v>Not run</x:v>
      </x:c>
      <x:c r="O390" s="10" t="str"/>
      <x:c r="P390" s="10" t="str"/>
    </x:row>
    <x:row r="391" ht="66" customHeight="1">
      <x:c r="A391" s="3" t="str">
        <x:v>PLAN-062</x:v>
      </x:c>
      <x:c r="B391" s="3" t="str">
        <x:v>Not run</x:v>
      </x:c>
      <x:c r="C391" s="3" t="str">
        <x:v>Accessibility and devices</x:v>
      </x:c>
      <x:c r="D391" s="3" t="str">
        <x:v>Safari and actual iOS</x:v>
      </x:c>
      <x:c r="E391" s="3" t="str">
        <x:v>All roles</x:v>
      </x:c>
      <x:c r="F391" s="3" t="str">
        <x:v>Planned release verification</x:v>
      </x:c>
      <x:c r="G391" s="3" t="str">
        <x:v>Run login/editor/dialog flows on Safari and an iPhone</x:v>
      </x:c>
      <x:c r="H391" s="3" t="str">
        <x:v>Temporary data / isolated environment; agree unspecified policy or limits first</x:v>
      </x:c>
      <x:c r="I391" s="3" t="str">
        <x:v>Main workflows remain usable; identify editor limitations explicitly</x:v>
      </x:c>
      <x:c r="J391" s="3" t="str">
        <x:v>Not executed in this audit; this is a release checklist item</x:v>
      </x:c>
      <x:c r="K391" s="3" t="str"/>
      <x:c r="L391" s="3" t="str">
        <x:v>Audit coverage plan</x:v>
      </x:c>
      <x:c r="M391" s="3" t="str"/>
      <x:c r="N391" s="10" t="str">
        <x:v>Not run</x:v>
      </x:c>
      <x:c r="O391" s="10" t="str"/>
      <x:c r="P391" s="10" t="str"/>
    </x:row>
    <x:row r="392" ht="66" customHeight="1">
      <x:c r="A392" s="3" t="str">
        <x:v>PLAN-063</x:v>
      </x:c>
      <x:c r="B392" s="3" t="str">
        <x:v>Not run</x:v>
      </x:c>
      <x:c r="C392" s="3" t="str">
        <x:v>Accessibility and devices</x:v>
      </x:c>
      <x:c r="D392" s="3" t="str">
        <x:v>Actual Android and touch</x:v>
      </x:c>
      <x:c r="E392" s="3" t="str">
        <x:v>All roles</x:v>
      </x:c>
      <x:c r="F392" s="3" t="str">
        <x:v>Planned release verification</x:v>
      </x:c>
      <x:c r="G392" s="3" t="str">
        <x:v>Run core student/faculty flows on a touch device</x:v>
      </x:c>
      <x:c r="H392" s="3" t="str">
        <x:v>Temporary data / isolated environment; agree unspecified policy or limits first</x:v>
      </x:c>
      <x:c r="I392" s="3" t="str">
        <x:v>Controls and scrolling work without hover dependence</x:v>
      </x:c>
      <x:c r="J392" s="3" t="str">
        <x:v>Not executed in this audit; this is a release checklist item</x:v>
      </x:c>
      <x:c r="K392" s="3" t="str"/>
      <x:c r="L392" s="3" t="str">
        <x:v>Audit coverage plan</x:v>
      </x:c>
      <x:c r="M392" s="3" t="str"/>
      <x:c r="N392" s="10" t="str">
        <x:v>Not run</x:v>
      </x:c>
      <x:c r="O392" s="10" t="str"/>
      <x:c r="P392" s="10" t="str"/>
    </x:row>
    <x:row r="393" ht="66" customHeight="1">
      <x:c r="A393" s="3" t="str">
        <x:v>PLAN-064</x:v>
      </x:c>
      <x:c r="B393" s="3" t="str">
        <x:v>Not run</x:v>
      </x:c>
      <x:c r="C393" s="3" t="str">
        <x:v>Accessibility and devices</x:v>
      </x:c>
      <x:c r="D393" s="3" t="str">
        <x:v>Populated 320 px pages beyond profile</x:v>
      </x:c>
      <x:c r="E393" s="3" t="str">
        <x:v>All roles</x:v>
      </x:c>
      <x:c r="F393" s="3" t="str">
        <x:v>Planned release verification</x:v>
      </x:c>
      <x:c r="G393" s="3" t="str">
        <x:v>Use long titles/names and many records on every route</x:v>
      </x:c>
      <x:c r="H393" s="3" t="str">
        <x:v>Temporary data / isolated environment; agree unspecified policy or limits first</x:v>
      </x:c>
      <x:c r="I393" s="3" t="str">
        <x:v>No hidden actions or horizontal page overflow</x:v>
      </x:c>
      <x:c r="J393" s="3" t="str">
        <x:v>Not executed in this audit; this is a release checklist item</x:v>
      </x:c>
      <x:c r="K393" s="3" t="str"/>
      <x:c r="L393" s="3" t="str">
        <x:v>Audit coverage plan</x:v>
      </x:c>
      <x:c r="M393" s="3" t="str"/>
      <x:c r="N393" s="10" t="str">
        <x:v>Not run</x:v>
      </x:c>
      <x:c r="O393" s="10" t="str"/>
      <x:c r="P393" s="10" t="str"/>
    </x:row>
    <x:row r="394" ht="66" customHeight="1">
      <x:c r="A394" s="3" t="str">
        <x:v>PLAN-065</x:v>
      </x:c>
      <x:c r="B394" s="3" t="str">
        <x:v>Not run</x:v>
      </x:c>
      <x:c r="C394" s="3" t="str">
        <x:v>Resilience and integrations</x:v>
      </x:c>
      <x:c r="D394" s="3" t="str">
        <x:v>API offline and 5xx recovery</x:v>
      </x:c>
      <x:c r="E394" s="3" t="str">
        <x:v>All roles / operations</x:v>
      </x:c>
      <x:c r="F394" s="3" t="str">
        <x:v>Planned release verification</x:v>
      </x:c>
      <x:c r="G394" s="3" t="str">
        <x:v>Fail reads/writes then restore the API</x:v>
      </x:c>
      <x:c r="H394" s="3" t="str">
        <x:v>Temporary data / isolated environment; agree unspecified policy or limits first</x:v>
      </x:c>
      <x:c r="I394" s="3" t="str">
        <x:v>Show recoverable error states and no false success</x:v>
      </x:c>
      <x:c r="J394" s="3" t="str">
        <x:v>Not executed in this audit; this is a release checklist item</x:v>
      </x:c>
      <x:c r="K394" s="3" t="str"/>
      <x:c r="L394" s="3" t="str">
        <x:v>Audit coverage plan</x:v>
      </x:c>
      <x:c r="M394" s="3" t="str"/>
      <x:c r="N394" s="10" t="str">
        <x:v>Not run</x:v>
      </x:c>
      <x:c r="O394" s="10" t="str"/>
      <x:c r="P394" s="10" t="str"/>
    </x:row>
    <x:row r="395" ht="66" customHeight="1">
      <x:c r="A395" s="3" t="str">
        <x:v>PLAN-066</x:v>
      </x:c>
      <x:c r="B395" s="3" t="str">
        <x:v>Not run</x:v>
      </x:c>
      <x:c r="C395" s="3" t="str">
        <x:v>Resilience and integrations</x:v>
      </x:c>
      <x:c r="D395" s="3" t="str">
        <x:v>Out-of-order responses</x:v>
      </x:c>
      <x:c r="E395" s="3" t="str">
        <x:v>All roles / operations</x:v>
      </x:c>
      <x:c r="F395" s="3" t="str">
        <x:v>Planned release verification</x:v>
      </x:c>
      <x:c r="G395" s="3" t="str">
        <x:v>Delay an old search/filter request past a newer one</x:v>
      </x:c>
      <x:c r="H395" s="3" t="str">
        <x:v>Temporary data / isolated environment; agree unspecified policy or limits first</x:v>
      </x:c>
      <x:c r="I395" s="3" t="str">
        <x:v>Only the current selection is displayed</x:v>
      </x:c>
      <x:c r="J395" s="3" t="str">
        <x:v>Not executed in this audit; this is a release checklist item</x:v>
      </x:c>
      <x:c r="K395" s="3" t="str"/>
      <x:c r="L395" s="3" t="str">
        <x:v>Audit coverage plan</x:v>
      </x:c>
      <x:c r="M395" s="3" t="str"/>
      <x:c r="N395" s="10" t="str">
        <x:v>Not run</x:v>
      </x:c>
      <x:c r="O395" s="10" t="str"/>
      <x:c r="P395" s="10" t="str"/>
    </x:row>
    <x:row r="396" ht="66" customHeight="1">
      <x:c r="A396" s="3" t="str">
        <x:v>PLAN-067</x:v>
      </x:c>
      <x:c r="B396" s="3" t="str">
        <x:v>Not run</x:v>
      </x:c>
      <x:c r="C396" s="3" t="str">
        <x:v>Resilience and integrations</x:v>
      </x:c>
      <x:c r="D396" s="3" t="str">
        <x:v>External judge outage</x:v>
      </x:c>
      <x:c r="E396" s="3" t="str">
        <x:v>All roles / operations</x:v>
      </x:c>
      <x:c r="F396" s="3" t="str">
        <x:v>Planned release verification</x:v>
      </x:c>
      <x:c r="G396" s="3" t="str">
        <x:v>Make the judge temporarily unavailable during test jobs</x:v>
      </x:c>
      <x:c r="H396" s="3" t="str">
        <x:v>Temporary data / isolated environment; agree unspecified policy or limits first</x:v>
      </x:c>
      <x:c r="I396" s="3" t="str">
        <x:v>Bounded retries and truthful terminal/recoverable status</x:v>
      </x:c>
      <x:c r="J396" s="3" t="str">
        <x:v>Not executed in this audit; this is a release checklist item</x:v>
      </x:c>
      <x:c r="K396" s="3" t="str"/>
      <x:c r="L396" s="3" t="str">
        <x:v>Audit coverage plan</x:v>
      </x:c>
      <x:c r="M396" s="3" t="str"/>
      <x:c r="N396" s="10" t="str">
        <x:v>Not run</x:v>
      </x:c>
      <x:c r="O396" s="10" t="str"/>
      <x:c r="P396" s="10" t="str"/>
    </x:row>
    <x:row r="397" ht="66" customHeight="1">
      <x:c r="A397" s="3" t="str">
        <x:v>PLAN-068</x:v>
      </x:c>
      <x:c r="B397" s="3" t="str">
        <x:v>Not run</x:v>
      </x:c>
      <x:c r="C397" s="3" t="str">
        <x:v>Resilience and integrations</x:v>
      </x:c>
      <x:c r="D397" s="3" t="str">
        <x:v>RabbitMQ outage and reconnect</x:v>
      </x:c>
      <x:c r="E397" s="3" t="str">
        <x:v>All roles / operations</x:v>
      </x:c>
      <x:c r="F397" s="3" t="str">
        <x:v>Planned release verification</x:v>
      </x:c>
      <x:c r="G397" s="3" t="str">
        <x:v>Interrupt the broker during temporary submissions</x:v>
      </x:c>
      <x:c r="H397" s="3" t="str">
        <x:v>Temporary data / isolated environment; agree unspecified policy or limits first</x:v>
      </x:c>
      <x:c r="I397" s="3" t="str">
        <x:v>Jobs recover without loss or duplicate grades</x:v>
      </x:c>
      <x:c r="J397" s="3" t="str">
        <x:v>Not executed in this audit; this is a release checklist item</x:v>
      </x:c>
      <x:c r="K397" s="3" t="str"/>
      <x:c r="L397" s="3" t="str">
        <x:v>Audit coverage plan</x:v>
      </x:c>
      <x:c r="M397" s="3" t="str"/>
      <x:c r="N397" s="10" t="str">
        <x:v>Not run</x:v>
      </x:c>
      <x:c r="O397" s="10" t="str"/>
      <x:c r="P397" s="10" t="str"/>
    </x:row>
    <x:row r="398" ht="66" customHeight="1">
      <x:c r="A398" s="3" t="str">
        <x:v>PLAN-069</x:v>
      </x:c>
      <x:c r="B398" s="3" t="str">
        <x:v>Not run</x:v>
      </x:c>
      <x:c r="C398" s="3" t="str">
        <x:v>Resilience and integrations</x:v>
      </x:c>
      <x:c r="D398" s="3" t="str">
        <x:v>Cache outage behavior</x:v>
      </x:c>
      <x:c r="E398" s="3" t="str">
        <x:v>All roles / operations</x:v>
      </x:c>
      <x:c r="F398" s="3" t="str">
        <x:v>Planned release verification</x:v>
      </x:c>
      <x:c r="G398" s="3" t="str">
        <x:v>Interrupt Redis in an isolated test environment</x:v>
      </x:c>
      <x:c r="H398" s="3" t="str">
        <x:v>Temporary data / isolated environment; agree unspecified policy or limits first</x:v>
      </x:c>
      <x:c r="I398" s="3" t="str">
        <x:v>Document fail-open/fail-closed behavior for sessions and rate limits</x:v>
      </x:c>
      <x:c r="J398" s="3" t="str">
        <x:v>Not executed in this audit; this is a release checklist item</x:v>
      </x:c>
      <x:c r="K398" s="3" t="str"/>
      <x:c r="L398" s="3" t="str">
        <x:v>Audit coverage plan</x:v>
      </x:c>
      <x:c r="M398" s="3" t="str"/>
      <x:c r="N398" s="10" t="str">
        <x:v>Not run</x:v>
      </x:c>
      <x:c r="O398" s="10" t="str"/>
      <x:c r="P398" s="10" t="str"/>
    </x:row>
    <x:row r="399" ht="66" customHeight="1">
      <x:c r="A399" s="3" t="str">
        <x:v>PLAN-070</x:v>
      </x:c>
      <x:c r="B399" s="3" t="str">
        <x:v>Not run</x:v>
      </x:c>
      <x:c r="C399" s="3" t="str">
        <x:v>Resilience and integrations</x:v>
      </x:c>
      <x:c r="D399" s="3" t="str">
        <x:v>Actual AI provider generation</x:v>
      </x:c>
      <x:c r="E399" s="3" t="str">
        <x:v>All roles / operations</x:v>
      </x:c>
      <x:c r="F399" s="3" t="str">
        <x:v>Planned release verification</x:v>
      </x:c>
      <x:c r="G399" s="3" t="str">
        <x:v>Use an approved valid provider key and generate/convert a problem</x:v>
      </x:c>
      <x:c r="H399" s="3" t="str">
        <x:v>Temporary data / isolated environment; agree unspecified policy or limits first</x:v>
      </x:c>
      <x:c r="I399" s="3" t="str">
        <x:v>Valid content is validated before save; provider failures are explained</x:v>
      </x:c>
      <x:c r="J399" s="3" t="str">
        <x:v>Not executed in this audit; this is a release checklist item</x:v>
      </x:c>
      <x:c r="K399" s="3" t="str"/>
      <x:c r="L399" s="3" t="str">
        <x:v>Audit coverage plan</x:v>
      </x:c>
      <x:c r="M399" s="3" t="str"/>
      <x:c r="N399" s="10" t="str">
        <x:v>Not run</x:v>
      </x:c>
      <x:c r="O399" s="10" t="str"/>
      <x:c r="P399" s="10" t="str"/>
    </x:row>
    <x:row r="400" ht="66" customHeight="1">
      <x:c r="A400" s="3" t="str">
        <x:v>PLAN-071</x:v>
      </x:c>
      <x:c r="B400" s="3" t="str">
        <x:v>Not run</x:v>
      </x:c>
      <x:c r="C400" s="3" t="str">
        <x:v>Resilience and integrations</x:v>
      </x:c>
      <x:c r="D400" s="3" t="str">
        <x:v>AI malformed response</x:v>
      </x:c>
      <x:c r="E400" s="3" t="str">
        <x:v>All roles / operations</x:v>
      </x:c>
      <x:c r="F400" s="3" t="str">
        <x:v>Planned release verification</x:v>
      </x:c>
      <x:c r="G400" s="3" t="str">
        <x:v>Inject invalid/truncated provider content</x:v>
      </x:c>
      <x:c r="H400" s="3" t="str">
        <x:v>Temporary data / isolated environment; agree unspecified policy or limits first</x:v>
      </x:c>
      <x:c r="I400" s="3" t="str">
        <x:v>No partial problem creation; useful retry/error message</x:v>
      </x:c>
      <x:c r="J400" s="3" t="str">
        <x:v>Not executed in this audit; this is a release checklist item</x:v>
      </x:c>
      <x:c r="K400" s="3" t="str"/>
      <x:c r="L400" s="3" t="str">
        <x:v>Audit coverage plan</x:v>
      </x:c>
      <x:c r="M400" s="3" t="str"/>
      <x:c r="N400" s="10" t="str">
        <x:v>Not run</x:v>
      </x:c>
      <x:c r="O400" s="10" t="str"/>
      <x:c r="P400" s="10" t="str"/>
    </x:row>
    <x:row r="401" ht="66" customHeight="1">
      <x:c r="A401" s="3" t="str">
        <x:v>PLAN-072</x:v>
      </x:c>
      <x:c r="B401" s="3" t="str">
        <x:v>Not run</x:v>
      </x:c>
      <x:c r="C401" s="3" t="str">
        <x:v>Resilience and integrations</x:v>
      </x:c>
      <x:c r="D401" s="3" t="str">
        <x:v>Legacy migration on representative data</x:v>
      </x:c>
      <x:c r="E401" s="3" t="str">
        <x:v>All roles / operations</x:v>
      </x:c>
      <x:c r="F401" s="3" t="str">
        <x:v>Planned release verification</x:v>
      </x:c>
      <x:c r="G401" s="3" t="str">
        <x:v>Run migration on an isolated representative snapshot</x:v>
      </x:c>
      <x:c r="H401" s="3" t="str">
        <x:v>Temporary data / isolated environment; agree unspecified policy or limits first</x:v>
      </x:c>
      <x:c r="I401" s="3" t="str">
        <x:v>Reconcile record counts, ownership, scores and encoding</x:v>
      </x:c>
      <x:c r="J401" s="3" t="str">
        <x:v>Not executed in this audit; this is a release checklist item</x:v>
      </x:c>
      <x:c r="K401" s="3" t="str"/>
      <x:c r="L401" s="3" t="str">
        <x:v>Audit coverage plan</x:v>
      </x:c>
      <x:c r="M401" s="3" t="str"/>
      <x:c r="N401" s="10" t="str">
        <x:v>Not run</x:v>
      </x:c>
      <x:c r="O401" s="10" t="str"/>
      <x:c r="P401" s="10" t="str"/>
    </x:row>
    <x:row r="402" ht="66" customHeight="1">
      <x:c r="A402" s="3" t="str">
        <x:v>PLAN-073</x:v>
      </x:c>
      <x:c r="B402" s="3" t="str">
        <x:v>Not run</x:v>
      </x:c>
      <x:c r="C402" s="3" t="str">
        <x:v>Deployment and release</x:v>
      </x:c>
      <x:c r="D402" s="3" t="str">
        <x:v>Production secure cookies and TLS</x:v>
      </x:c>
      <x:c r="E402" s="3" t="str">
        <x:v>Operations / developer</x:v>
      </x:c>
      <x:c r="F402" s="3" t="str">
        <x:v>Planned release verification</x:v>
      </x:c>
      <x:c r="G402" s="3" t="str">
        <x:v>Deploy to the intended HTTPS domain</x:v>
      </x:c>
      <x:c r="H402" s="3" t="str">
        <x:v>Temporary data / isolated environment; agree unspecified policy or limits first</x:v>
      </x:c>
      <x:c r="I402" s="3" t="str">
        <x:v>Cookie security, CSRF and trusted origins match deployment</x:v>
      </x:c>
      <x:c r="J402" s="3" t="str">
        <x:v>Not executed in this audit; this is a release checklist item</x:v>
      </x:c>
      <x:c r="K402" s="3" t="str"/>
      <x:c r="L402" s="3" t="str">
        <x:v>Audit coverage plan</x:v>
      </x:c>
      <x:c r="M402" s="3" t="str"/>
      <x:c r="N402" s="10" t="str">
        <x:v>Not run</x:v>
      </x:c>
      <x:c r="O402" s="10" t="str"/>
      <x:c r="P402" s="10" t="str"/>
    </x:row>
    <x:row r="403" ht="66" customHeight="1">
      <x:c r="A403" s="3" t="str">
        <x:v>PLAN-074</x:v>
      </x:c>
      <x:c r="B403" s="3" t="str">
        <x:v>Not run</x:v>
      </x:c>
      <x:c r="C403" s="3" t="str">
        <x:v>Deployment and release</x:v>
      </x:c>
      <x:c r="D403" s="3" t="str">
        <x:v>Fresh installation and migrations</x:v>
      </x:c>
      <x:c r="E403" s="3" t="str">
        <x:v>Operations / developer</x:v>
      </x:c>
      <x:c r="F403" s="3" t="str">
        <x:v>Planned release verification</x:v>
      </x:c>
      <x:c r="G403" s="3" t="str">
        <x:v>Start an isolated empty database from documented setup</x:v>
      </x:c>
      <x:c r="H403" s="3" t="str">
        <x:v>Temporary data / isolated environment; agree unspecified policy or limits first</x:v>
      </x:c>
      <x:c r="I403" s="3" t="str">
        <x:v>All services become healthy and required admin bootstrap works</x:v>
      </x:c>
      <x:c r="J403" s="3" t="str">
        <x:v>Not executed in this audit; this is a release checklist item</x:v>
      </x:c>
      <x:c r="K403" s="3" t="str"/>
      <x:c r="L403" s="3" t="str">
        <x:v>Audit coverage plan</x:v>
      </x:c>
      <x:c r="M403" s="3" t="str"/>
      <x:c r="N403" s="10" t="str">
        <x:v>Not run</x:v>
      </x:c>
      <x:c r="O403" s="10" t="str"/>
      <x:c r="P403" s="10" t="str"/>
    </x:row>
    <x:row r="404" ht="66" customHeight="1">
      <x:c r="A404" s="3" t="str">
        <x:v>PLAN-075</x:v>
      </x:c>
      <x:c r="B404" s="3" t="str">
        <x:v>Not run</x:v>
      </x:c>
      <x:c r="C404" s="3" t="str">
        <x:v>Deployment and release</x:v>
      </x:c>
      <x:c r="D404" s="3" t="str">
        <x:v>Upgrade with existing data</x:v>
      </x:c>
      <x:c r="E404" s="3" t="str">
        <x:v>Operations / developer</x:v>
      </x:c>
      <x:c r="F404" s="3" t="str">
        <x:v>Planned release verification</x:v>
      </x:c>
      <x:c r="G404" s="3" t="str">
        <x:v>Apply migrations to an isolated prior-version snapshot</x:v>
      </x:c>
      <x:c r="H404" s="3" t="str">
        <x:v>Temporary data / isolated environment; agree unspecified policy or limits first</x:v>
      </x:c>
      <x:c r="I404" s="3" t="str">
        <x:v>Existing data and relationships remain valid</x:v>
      </x:c>
      <x:c r="J404" s="3" t="str">
        <x:v>Not executed in this audit; this is a release checklist item</x:v>
      </x:c>
      <x:c r="K404" s="3" t="str"/>
      <x:c r="L404" s="3" t="str">
        <x:v>Audit coverage plan</x:v>
      </x:c>
      <x:c r="M404" s="3" t="str"/>
      <x:c r="N404" s="10" t="str">
        <x:v>Not run</x:v>
      </x:c>
      <x:c r="O404" s="10" t="str"/>
      <x:c r="P404" s="10" t="str"/>
    </x:row>
    <x:row r="405" ht="66" customHeight="1">
      <x:c r="A405" s="3" t="str">
        <x:v>PLAN-076</x:v>
      </x:c>
      <x:c r="B405" s="3" t="str">
        <x:v>Not run</x:v>
      </x:c>
      <x:c r="C405" s="3" t="str">
        <x:v>Deployment and release</x:v>
      </x:c>
      <x:c r="D405" s="3" t="str">
        <x:v>Backup and restore rehearsal</x:v>
      </x:c>
      <x:c r="E405" s="3" t="str">
        <x:v>Operations / developer</x:v>
      </x:c>
      <x:c r="F405" s="3" t="str">
        <x:v>Planned release verification</x:v>
      </x:c>
      <x:c r="G405" s="3" t="str">
        <x:v>Restore database/media backups in an isolated environment</x:v>
      </x:c>
      <x:c r="H405" s="3" t="str">
        <x:v>Temporary data / isolated environment; agree unspecified policy or limits first</x:v>
      </x:c>
      <x:c r="I405" s="3" t="str">
        <x:v>Reconcile users, files, assignments and submissions</x:v>
      </x:c>
      <x:c r="J405" s="3" t="str">
        <x:v>Not executed in this audit; this is a release checklist item</x:v>
      </x:c>
      <x:c r="K405" s="3" t="str"/>
      <x:c r="L405" s="3" t="str">
        <x:v>Audit coverage plan</x:v>
      </x:c>
      <x:c r="M405" s="3" t="str"/>
      <x:c r="N405" s="10" t="str">
        <x:v>Not run</x:v>
      </x:c>
      <x:c r="O405" s="10" t="str"/>
      <x:c r="P405" s="10" t="str"/>
    </x:row>
    <x:row r="406" ht="66" customHeight="1">
      <x:c r="A406" s="3" t="str">
        <x:v>PLAN-077</x:v>
      </x:c>
      <x:c r="B406" s="3" t="str">
        <x:v>Not run</x:v>
      </x:c>
      <x:c r="C406" s="3" t="str">
        <x:v>Deployment and release</x:v>
      </x:c>
      <x:c r="D406" s="3" t="str">
        <x:v>Sandbox privilege review</x:v>
      </x:c>
      <x:c r="E406" s="3" t="str">
        <x:v>Operations / developer</x:v>
      </x:c>
      <x:c r="F406" s="3" t="str">
        <x:v>Planned release verification</x:v>
      </x:c>
      <x:c r="G406" s="3" t="str">
        <x:v>Review the production execution service separately from approved local root setup</x:v>
      </x:c>
      <x:c r="H406" s="3" t="str">
        <x:v>Temporary data / isolated environment; agree unspecified policy or limits first</x:v>
      </x:c>
      <x:c r="I406" s="3" t="str">
        <x:v>Production privileges and isolation meet the agreed threat model</x:v>
      </x:c>
      <x:c r="J406" s="3" t="str">
        <x:v>Not executed in this audit; this is a release checklist item</x:v>
      </x:c>
      <x:c r="K406" s="3" t="str"/>
      <x:c r="L406" s="3" t="str">
        <x:v>Audit coverage plan</x:v>
      </x:c>
      <x:c r="M406" s="3" t="str"/>
      <x:c r="N406" s="10" t="str">
        <x:v>Not run</x:v>
      </x:c>
      <x:c r="O406" s="10" t="str"/>
      <x:c r="P406" s="10" t="str"/>
    </x:row>
    <x:row r="407" ht="66" customHeight="1">
      <x:c r="A407" s="3" t="str">
        <x:v>PLAN-078</x:v>
      </x:c>
      <x:c r="B407" s="3" t="str">
        <x:v>Not run</x:v>
      </x:c>
      <x:c r="C407" s="3" t="str">
        <x:v>Deployment and release</x:v>
      </x:c>
      <x:c r="D407" s="3" t="str">
        <x:v>Secrets and logging review</x:v>
      </x:c>
      <x:c r="E407" s="3" t="str">
        <x:v>Operations / developer</x:v>
      </x:c>
      <x:c r="F407" s="3" t="str">
        <x:v>Planned release verification</x:v>
      </x:c>
      <x:c r="G407" s="3" t="str">
        <x:v>Inspect build assets, responses and logs with test credentials</x:v>
      </x:c>
      <x:c r="H407" s="3" t="str">
        <x:v>Temporary data / isolated environment; agree unspecified policy or limits first</x:v>
      </x:c>
      <x:c r="I407" s="3" t="str">
        <x:v>No private keys/passwords/tokens are exposed</x:v>
      </x:c>
      <x:c r="J407" s="3" t="str">
        <x:v>Not executed in this audit; this is a release checklist item</x:v>
      </x:c>
      <x:c r="K407" s="3" t="str"/>
      <x:c r="L407" s="3" t="str">
        <x:v>Audit coverage plan</x:v>
      </x:c>
      <x:c r="M407" s="3" t="str"/>
      <x:c r="N407" s="10" t="str">
        <x:v>Not run</x:v>
      </x:c>
      <x:c r="O407" s="10" t="str"/>
      <x:c r="P407" s="10" t="str"/>
    </x:row>
    <x:row r="408" ht="66" customHeight="1">
      <x:c r="A408" s="3" t="str">
        <x:v>PLAN-079</x:v>
      </x:c>
      <x:c r="B408" s="3" t="str">
        <x:v>Not run</x:v>
      </x:c>
      <x:c r="C408" s="3" t="str">
        <x:v>Deployment and release</x:v>
      </x:c>
      <x:c r="D408" s="3" t="str">
        <x:v>Service restart persistence</x:v>
      </x:c>
      <x:c r="E408" s="3" t="str">
        <x:v>Operations / developer</x:v>
      </x:c>
      <x:c r="F408" s="3" t="str">
        <x:v>Planned release verification</x:v>
      </x:c>
      <x:c r="G408" s="3" t="str">
        <x:v>Restart all services without deleting volumes</x:v>
      </x:c>
      <x:c r="H408" s="3" t="str">
        <x:v>Temporary data / isolated environment; agree unspecified policy or limits first</x:v>
      </x:c>
      <x:c r="I408" s="3" t="str">
        <x:v>Existing data persists and services recover</x:v>
      </x:c>
      <x:c r="J408" s="3" t="str">
        <x:v>Not executed in this audit; this is a release checklist item</x:v>
      </x:c>
      <x:c r="K408" s="3" t="str"/>
      <x:c r="L408" s="3" t="str">
        <x:v>Audit coverage plan</x:v>
      </x:c>
      <x:c r="M408" s="3" t="str"/>
      <x:c r="N408" s="10" t="str">
        <x:v>Not run</x:v>
      </x:c>
      <x:c r="O408" s="10" t="str"/>
      <x:c r="P408" s="10" t="str"/>
    </x:row>
    <x:row r="409" ht="66" customHeight="1">
      <x:c r="A409" s="3" t="str">
        <x:v>PLAN-080</x:v>
      </x:c>
      <x:c r="B409" s="3" t="str">
        <x:v>Not run</x:v>
      </x:c>
      <x:c r="C409" s="3" t="str">
        <x:v>Deployment and release</x:v>
      </x:c>
      <x:c r="D409" s="3" t="str">
        <x:v>Clean build and quality gate</x:v>
      </x:c>
      <x:c r="E409" s="3" t="str">
        <x:v>Operations / developer</x:v>
      </x:c>
      <x:c r="F409" s="3" t="str">
        <x:v>Planned release verification</x:v>
      </x:c>
      <x:c r="G409" s="3" t="str">
        <x:v>Run the release build, lint and regression suite after fixes</x:v>
      </x:c>
      <x:c r="H409" s="3" t="str">
        <x:v>Temporary data / isolated environment; agree unspecified policy or limits first</x:v>
      </x:c>
      <x:c r="I409" s="3" t="str">
        <x:v>Required checks pass and known exclusions are documented</x:v>
      </x:c>
      <x:c r="J409" s="3" t="str">
        <x:v>Not executed in this audit; this is a release checklist item</x:v>
      </x:c>
      <x:c r="K409" s="3" t="str"/>
      <x:c r="L409" s="3" t="str">
        <x:v>Audit coverage plan</x:v>
      </x:c>
      <x:c r="M409" s="3" t="str"/>
      <x:c r="N409" s="10" t="str">
        <x:v>Not run</x:v>
      </x:c>
      <x:c r="O409" s="10" t="str"/>
      <x:c r="P409" s="10" t="str"/>
    </x:row>
  </x:sheetData>
  <x:conditionalFormatting sqref="B7:B409">
    <x:cfRule type="expression" dxfId="2" priority="1">
      <x:formula>$B7="Failed"</x:formula>
    </x:cfRule>
    <x:cfRule type="expression" dxfId="3" priority="2">
      <x:formula>$B7="Not run"</x:formula>
    </x:cfRule>
  </x:conditionalFormatting>
  <x:dataValidations count="1">
    <x:dataValidation type="list" sqref="N7:N409">
      <x:formula1>"Not run,Passed,Failed,Blocked"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d5fe20af794f3c"/>
  </x:tableParts>
</x:worksheet>
</file>